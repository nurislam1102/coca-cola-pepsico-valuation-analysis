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_Me" sheetId="1" state="visible" r:id="rId3"/>
    <sheet name="Inputs" sheetId="2" state="visible" r:id="rId4"/>
    <sheet name="Calculations" sheetId="3" state="visible" r:id="rId5"/>
    <sheet name="Summary" sheetId="4" state="visible" r:id="rId6"/>
    <sheet name="Verification" sheetId="5" state="visible" r:id="rId7"/>
    <sheet name="Checks" sheetId="6" state="visible" r:id="rId8"/>
    <sheet name="Limit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<sst xmlns="http://schemas.openxmlformats.org/spreadsheetml/2006/main" count="426" uniqueCount="122">
  <si>
    <t xml:space="preserve">THE VALUATION GAP: Coca-Cola (KO) vs PepsiCo (PEP): calculation workbook</t>
  </si>
  <si>
    <t xml:space="preserve">Inputs sheet: values keyed from SEC 10-K filings (blue = hard-coded reported inputs; USD millions except EPS and price). Each row cites the 10-K accession and URL.</t>
  </si>
  <si>
    <t xml:space="preserve">Calculations / Summary sheets: all black cells are live formulas that reference Inputs.</t>
  </si>
  <si>
    <t xml:space="preserve">Verification sheet: the 50 income-statement figures that were matched to the visible text of the 10-K documents.</t>
  </si>
  <si>
    <t xml:space="preserve">Checks sheet: workbook results compared with the CSV used in Tableau (all differences must be ~0).</t>
  </si>
  <si>
    <t xml:space="preserve">Valuation date: close on 2025-12-31 (calendar year-end) for both companies; P/E = close / FY diluted GAAP EPS. PEP fiscal year ends Dec 27, 2025 (disclosed offset).</t>
  </si>
  <si>
    <t xml:space="preserve">Prices: Yahoo Finance chart API, unadjusted close (secondary source; not independently re-verified).</t>
  </si>
  <si>
    <t xml:space="preserve">Student portfolio project using public data. Not investment advice. Not affiliated with The Coca-Cola Company or PepsiCo, Inc.</t>
  </si>
  <si>
    <t xml:space="preserve">Company</t>
  </si>
  <si>
    <t xml:space="preserve">Ticker</t>
  </si>
  <si>
    <t xml:space="preserve">Fiscal_Year</t>
  </si>
  <si>
    <t xml:space="preserve">Fiscal_Year_End</t>
  </si>
  <si>
    <t xml:space="preserve">Revenue_USD_M</t>
  </si>
  <si>
    <t xml:space="preserve">Prior_Year_Revenue_USD_M</t>
  </si>
  <si>
    <t xml:space="preserve">Gross_Profit_USD_M</t>
  </si>
  <si>
    <t xml:space="preserve">Operating_Income_USD_M</t>
  </si>
  <si>
    <t xml:space="preserve">Net_Income_USD_M</t>
  </si>
  <si>
    <t xml:space="preserve">Prior_Year_Net_Income_USD_M</t>
  </si>
  <si>
    <t xml:space="preserve">Total_Assets_USD_M</t>
  </si>
  <si>
    <t xml:space="preserve">EPS_Diluted_USD</t>
  </si>
  <si>
    <t xml:space="preserve">Close_Price_USD</t>
  </si>
  <si>
    <t xml:space="preserve">Price_Date</t>
  </si>
  <si>
    <t xml:space="preserve">10-K_Accession</t>
  </si>
  <si>
    <t xml:space="preserve">10-K_URL</t>
  </si>
  <si>
    <t xml:space="preserve">Figures_Text_Verified_of_5</t>
  </si>
  <si>
    <t xml:space="preserve">The Coca-Cola Company</t>
  </si>
  <si>
    <t xml:space="preserve">KO</t>
  </si>
  <si>
    <t xml:space="preserve">2021-12-31</t>
  </si>
  <si>
    <t xml:space="preserve">0000021344-22-000009</t>
  </si>
  <si>
    <t xml:space="preserve">https://www.sec.gov/Archives/edgar/data/21344/000002134422000009/ko-20211231.htm</t>
  </si>
  <si>
    <t xml:space="preserve">2022-12-31</t>
  </si>
  <si>
    <t xml:space="preserve">2022-12-30</t>
  </si>
  <si>
    <t xml:space="preserve">0000021344-23-000011</t>
  </si>
  <si>
    <t xml:space="preserve">https://www.sec.gov/Archives/edgar/data/21344/000002134423000011/ko-20221231.htm</t>
  </si>
  <si>
    <t xml:space="preserve">2023-12-31</t>
  </si>
  <si>
    <t xml:space="preserve">2023-12-29</t>
  </si>
  <si>
    <t xml:space="preserve">0000021344-24-000009</t>
  </si>
  <si>
    <t xml:space="preserve">https://www.sec.gov/Archives/edgar/data/21344/000002134424000009/ko-20231231.htm</t>
  </si>
  <si>
    <t xml:space="preserve">2024-12-31</t>
  </si>
  <si>
    <t xml:space="preserve">0000021344-25-000011</t>
  </si>
  <si>
    <t xml:space="preserve">https://www.sec.gov/Archives/edgar/data/21344/000002134425000011/ko-20241231.htm</t>
  </si>
  <si>
    <t xml:space="preserve">2025-12-31</t>
  </si>
  <si>
    <t xml:space="preserve">0001628280-26-010047</t>
  </si>
  <si>
    <t xml:space="preserve">https://www.sec.gov/Archives/edgar/data/21344/000162828026010047/ko-20251231.htm</t>
  </si>
  <si>
    <t xml:space="preserve">PepsiCo, Inc.</t>
  </si>
  <si>
    <t xml:space="preserve">PEP</t>
  </si>
  <si>
    <t xml:space="preserve">2021-12-25</t>
  </si>
  <si>
    <t xml:space="preserve">0000077476-22-000010</t>
  </si>
  <si>
    <t xml:space="preserve">https://www.sec.gov/Archives/edgar/data/77476/000007747622000010/pep-20211225.htm</t>
  </si>
  <si>
    <t xml:space="preserve">0000077476-23-000007</t>
  </si>
  <si>
    <t xml:space="preserve">https://www.sec.gov/Archives/edgar/data/77476/000007747623000007/pep-20221231.htm</t>
  </si>
  <si>
    <t xml:space="preserve">2023-12-30</t>
  </si>
  <si>
    <t xml:space="preserve">0000077476-24-000008</t>
  </si>
  <si>
    <t xml:space="preserve">https://www.sec.gov/Archives/edgar/data/77476/000007747624000008/pep-20231230.htm</t>
  </si>
  <si>
    <t xml:space="preserve">2024-12-28</t>
  </si>
  <si>
    <t xml:space="preserve">0000077476-25-000007</t>
  </si>
  <si>
    <t xml:space="preserve">https://www.sec.gov/Archives/edgar/data/77476/000007747625000007/pep-20241228.htm</t>
  </si>
  <si>
    <t xml:space="preserve">2025-12-27</t>
  </si>
  <si>
    <t xml:space="preserve">0000077476-26-000007</t>
  </si>
  <si>
    <t xml:space="preserve">https://www.sec.gov/Archives/edgar/data/77476/000007747626000007/pep-20251227.htm</t>
  </si>
  <si>
    <t xml:space="preserve">Revenue_Growth</t>
  </si>
  <si>
    <t xml:space="preserve">Net_Income_Growth</t>
  </si>
  <si>
    <t xml:space="preserve">Gross_Margin</t>
  </si>
  <si>
    <t xml:space="preserve">Operating_Margin</t>
  </si>
  <si>
    <t xml:space="preserve">Net_Margin</t>
  </si>
  <si>
    <t xml:space="preserve">Revenue_Index_FY2021</t>
  </si>
  <si>
    <t xml:space="preserve">Net_Income_Index_FY2021</t>
  </si>
  <si>
    <t xml:space="preserve">PE_Ratio_GAAP</t>
  </si>
  <si>
    <t xml:space="preserve">Metric</t>
  </si>
  <si>
    <t xml:space="preserve">Coca-Cola (KO)</t>
  </si>
  <si>
    <t xml:space="preserve">PepsiCo (PEP)</t>
  </si>
  <si>
    <t xml:space="preserve">Difference (KO minus PEP)</t>
  </si>
  <si>
    <t xml:space="preserve">Note</t>
  </si>
  <si>
    <t xml:space="preserve">Revenue FY2021 (USD M)</t>
  </si>
  <si>
    <t xml:space="preserve">Revenue FY2025 (USD M)</t>
  </si>
  <si>
    <t xml:space="preserve">Revenue CAGR FY2021 to FY2025 (4 intervals)</t>
  </si>
  <si>
    <t xml:space="preserve">Difference in percentage points</t>
  </si>
  <si>
    <t xml:space="preserve">Operating income CAGR FY2021 to FY2025</t>
  </si>
  <si>
    <t xml:space="preserve">Net income CAGR FY2021 to FY2025</t>
  </si>
  <si>
    <t xml:space="preserve">Endpoint-sensitive: FY2025 GAAP results include items not analysed here</t>
  </si>
  <si>
    <t xml:space="preserve">Average gross margin (5 yrs)</t>
  </si>
  <si>
    <t xml:space="preserve">Average operating margin (5 yrs)</t>
  </si>
  <si>
    <t xml:space="preserve">Simple average of five annual margins</t>
  </si>
  <si>
    <t xml:space="preserve">Average net margin (5 yrs)</t>
  </si>
  <si>
    <t xml:space="preserve">FY2025 operating margin</t>
  </si>
  <si>
    <t xml:space="preserve">FY2025 net margin</t>
  </si>
  <si>
    <t xml:space="preserve">Years (of 5) with BOTH revenue and net income up</t>
  </si>
  <si>
    <t xml:space="preserve">GAAP P/E on 2025-12-31 (x)</t>
  </si>
  <si>
    <t xml:space="preserve">Close on 2025-12-31 / FY2025 diluted GAAP EPS</t>
  </si>
  <si>
    <t xml:space="preserve">P/E premium of PEP over KO on 2025-12-31 (%)</t>
  </si>
  <si>
    <t xml:space="preserve">P/E difference PEP minus KO by year-end (x):</t>
  </si>
  <si>
    <t xml:space="preserve">  2021 (close on year-end)</t>
  </si>
  <si>
    <t xml:space="preserve">  2022 (close on year-end)</t>
  </si>
  <si>
    <t xml:space="preserve">  2023 (close on year-end)</t>
  </si>
  <si>
    <t xml:space="preserve">  2024 (close on year-end)</t>
  </si>
  <si>
    <t xml:space="preserve">  2025 (close on year-end)</t>
  </si>
  <si>
    <t xml:space="preserve">Value_in_workbook</t>
  </si>
  <si>
    <t xml:space="preserve">10-K document matched</t>
  </si>
  <si>
    <t xml:space="preserve">Result</t>
  </si>
  <si>
    <t xml:space="preserve">Revenue</t>
  </si>
  <si>
    <t xml:space="preserve">Matched to 10-K income statement text</t>
  </si>
  <si>
    <t xml:space="preserve">GrossProfit</t>
  </si>
  <si>
    <t xml:space="preserve">OperatingIncome</t>
  </si>
  <si>
    <t xml:space="preserve">NetIncome</t>
  </si>
  <si>
    <t xml:space="preserve">EPS_Diluted</t>
  </si>
  <si>
    <t xml:space="preserve">Workbook value</t>
  </si>
  <si>
    <t xml:space="preserve">CSV value (Tableau)</t>
  </si>
  <si>
    <t xml:space="preserve">Abs difference</t>
  </si>
  <si>
    <t xml:space="preserve">Revenue_Growth_Pct</t>
  </si>
  <si>
    <t xml:space="preserve">Operating_Margin_Pct</t>
  </si>
  <si>
    <t xml:space="preserve">Net_Margin_Pct</t>
  </si>
  <si>
    <t xml:space="preserve">Max abs difference</t>
  </si>
  <si>
    <t xml:space="preserve">COMPARABILITY LIMITATIONS AND EXCLUSIONS</t>
  </si>
  <si>
    <t xml:space="preserve">1. Different business mixes: KO sells mainly beverage concentrates/syrups and finished beverages through bottling partners; PEP combines beverages with a large snack and food business. Margin gaps reflect business model differences that this study does not isolate.</t>
  </si>
  <si>
    <t xml:space="preserve">2. Different fiscal calendars: KO ends Dec 31; PEP ends on the last Saturday of December (Dec 25, 2021; Dec 31, 2022; Dec 30, 2023; Dec 28, 2024; Dec 27, 2025). Period lengths were not adjusted.</t>
  </si>
  <si>
    <t xml:space="preserve">3. GAAP results: KO operating income includes 'Other operating charges' (10-K: $1,261M FY2025, $4,163M FY2024, $1,951M FY2023). Non-GAAP/comparable measures were NOT used because they are not audited line items and cannot be sourced consistently.</t>
  </si>
  <si>
    <t xml:space="preserve">4. Net margin can exceed operating margin (KO FY2024-25) because net income includes non-operating items; not decomposed here.</t>
  </si>
  <si>
    <t xml:space="preserve">5. Total debt and EV/EBITDA were EXCLUDED: XBRL debt tags differ across years and between companies (finance leases, commercial paper, current maturities), so a consistent definition could not be verified.</t>
  </si>
  <si>
    <t xml:space="preserve">6. Prices are calendar year-end closes from Yahoo Finance (secondary source). P/E uses FY GAAP diluted EPS; PEP fiscal year-end is a few days before the price date in some years.</t>
  </si>
  <si>
    <t xml:space="preserve">7. FY2021 growth uses FY2020 revenue and net income from the FY2020 10-K XBRL data (not text-matched).</t>
  </si>
  <si>
    <t xml:space="preserve">8. Total assets are from XBRL data and were not text-matched.</t>
  </si>
  <si>
    <t xml:space="preserve">9. Observation vs interpretation: nothing here establishes why investors pay a given multiple. This is a descriptive comparison, not a valuation model or recommendation.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</si>
</sst>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0.00"/>
    <numFmt numFmtId="167" formatCode="0.0%"/>
    <numFmt numFmtId="168" formatCode="0.0"/>
    <numFmt numFmtId="169" formatCode="0.0\x"/>
    <numFmt numFmtId="170" formatCode="0.00%"/>
    <numFmt numFmtId="171" formatCode="0.00&quot; pp&quot;"/>
    <numFmt numFmtId="172" formatCode="0"/>
    <numFmt numFmtId="173" formatCode="\+0.0\x;\-0.0\x"/>
    <numFmt numFmtId="174" formatCode="0.00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21"/>
    <col collapsed="false" customWidth="true" hidden="false" outlineLevel="0" max="8" min="8" style="0" width="25"/>
    <col collapsed="false" customWidth="true" hidden="false" outlineLevel="0" max="9" min="9" style="0" width="19"/>
    <col collapsed="false" customWidth="true" hidden="false" outlineLevel="0" max="10" min="10" style="0" width="26"/>
    <col collapsed="false" customWidth="true" hidden="false" outlineLevel="0" max="11" min="11" style="0" width="21"/>
    <col collapsed="false" customWidth="true" hidden="false" outlineLevel="0" max="13" min="12" style="0" width="18"/>
    <col collapsed="false" customWidth="true" hidden="false" outlineLevel="0" max="14" min="14" style="0" width="13"/>
    <col collapsed="false" customWidth="true" hidden="false" outlineLevel="0" max="15" min="15" style="0" width="17"/>
    <col collapsed="false" customWidth="true" hidden="false" outlineLevel="0" max="16" min="16" style="0" width="70"/>
    <col collapsed="false" customWidth="true" hidden="false" outlineLevel="0" max="17" min="17" style="0" width="26"/>
  </cols>
  <sheetData>
    <row r="1" customFormat="false" ht="28.3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2021</v>
      </c>
      <c r="D2" s="0" t="s">
        <v>27</v>
      </c>
      <c r="E2" s="4" t="n">
        <v>38655</v>
      </c>
      <c r="F2" s="4" t="n">
        <v>33014</v>
      </c>
      <c r="G2" s="4" t="n">
        <v>23298</v>
      </c>
      <c r="H2" s="4" t="n">
        <v>10308</v>
      </c>
      <c r="I2" s="4" t="n">
        <v>9771</v>
      </c>
      <c r="J2" s="4" t="n">
        <v>7747</v>
      </c>
      <c r="K2" s="4" t="n">
        <v>94354</v>
      </c>
      <c r="L2" s="5" t="n">
        <v>2.25</v>
      </c>
      <c r="M2" s="5" t="n">
        <v>59.2099990844727</v>
      </c>
      <c r="N2" s="6" t="s">
        <v>27</v>
      </c>
      <c r="O2" s="6" t="s">
        <v>28</v>
      </c>
      <c r="P2" s="6" t="s">
        <v>29</v>
      </c>
      <c r="Q2" s="0" t="n">
        <v>5</v>
      </c>
    </row>
    <row r="3" customFormat="false" ht="15" hidden="false" customHeight="false" outlineLevel="0" collapsed="false">
      <c r="A3" s="0" t="s">
        <v>25</v>
      </c>
      <c r="B3" s="0" t="s">
        <v>26</v>
      </c>
      <c r="C3" s="0" t="n">
        <v>2022</v>
      </c>
      <c r="D3" s="0" t="s">
        <v>30</v>
      </c>
      <c r="E3" s="4" t="n">
        <v>43004</v>
      </c>
      <c r="F3" s="4" t="n">
        <v>38655</v>
      </c>
      <c r="G3" s="4" t="n">
        <v>25004</v>
      </c>
      <c r="H3" s="4" t="n">
        <v>10909</v>
      </c>
      <c r="I3" s="4" t="n">
        <v>9542</v>
      </c>
      <c r="J3" s="4" t="n">
        <v>9771</v>
      </c>
      <c r="K3" s="4" t="n">
        <v>92763</v>
      </c>
      <c r="L3" s="5" t="n">
        <v>2.19</v>
      </c>
      <c r="M3" s="5" t="n">
        <v>63.6100006103516</v>
      </c>
      <c r="N3" s="6" t="s">
        <v>31</v>
      </c>
      <c r="O3" s="6" t="s">
        <v>32</v>
      </c>
      <c r="P3" s="6" t="s">
        <v>33</v>
      </c>
      <c r="Q3" s="0" t="n">
        <v>5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n">
        <v>2023</v>
      </c>
      <c r="D4" s="0" t="s">
        <v>34</v>
      </c>
      <c r="E4" s="4" t="n">
        <v>45754</v>
      </c>
      <c r="F4" s="4" t="n">
        <v>43004</v>
      </c>
      <c r="G4" s="4" t="n">
        <v>27234</v>
      </c>
      <c r="H4" s="4" t="n">
        <v>11311</v>
      </c>
      <c r="I4" s="4" t="n">
        <v>10714</v>
      </c>
      <c r="J4" s="4" t="n">
        <v>9542</v>
      </c>
      <c r="K4" s="4" t="n">
        <v>97703</v>
      </c>
      <c r="L4" s="5" t="n">
        <v>2.47</v>
      </c>
      <c r="M4" s="5" t="n">
        <v>58.9300003051758</v>
      </c>
      <c r="N4" s="6" t="s">
        <v>35</v>
      </c>
      <c r="O4" s="6" t="s">
        <v>36</v>
      </c>
      <c r="P4" s="6" t="s">
        <v>37</v>
      </c>
      <c r="Q4" s="0" t="n">
        <v>5</v>
      </c>
    </row>
    <row r="5" customFormat="false" ht="15" hidden="false" customHeight="false" outlineLevel="0" collapsed="false">
      <c r="A5" s="0" t="s">
        <v>25</v>
      </c>
      <c r="B5" s="0" t="s">
        <v>26</v>
      </c>
      <c r="C5" s="0" t="n">
        <v>2024</v>
      </c>
      <c r="D5" s="0" t="s">
        <v>38</v>
      </c>
      <c r="E5" s="4" t="n">
        <v>47061</v>
      </c>
      <c r="F5" s="4" t="n">
        <v>45754</v>
      </c>
      <c r="G5" s="4" t="n">
        <v>28737</v>
      </c>
      <c r="H5" s="4" t="n">
        <v>9992</v>
      </c>
      <c r="I5" s="4" t="n">
        <v>10631</v>
      </c>
      <c r="J5" s="4" t="n">
        <v>10714</v>
      </c>
      <c r="K5" s="4" t="n">
        <v>100549</v>
      </c>
      <c r="L5" s="5" t="n">
        <v>2.46</v>
      </c>
      <c r="M5" s="5" t="n">
        <v>62.2599983215332</v>
      </c>
      <c r="N5" s="6" t="s">
        <v>38</v>
      </c>
      <c r="O5" s="6" t="s">
        <v>39</v>
      </c>
      <c r="P5" s="6" t="s">
        <v>40</v>
      </c>
      <c r="Q5" s="0" t="n">
        <v>5</v>
      </c>
    </row>
    <row r="6" customFormat="false" ht="15" hidden="false" customHeight="false" outlineLevel="0" collapsed="false">
      <c r="A6" s="0" t="s">
        <v>25</v>
      </c>
      <c r="B6" s="0" t="s">
        <v>26</v>
      </c>
      <c r="C6" s="0" t="n">
        <v>2025</v>
      </c>
      <c r="D6" s="0" t="s">
        <v>41</v>
      </c>
      <c r="E6" s="4" t="n">
        <v>47941</v>
      </c>
      <c r="F6" s="4" t="n">
        <v>47061</v>
      </c>
      <c r="G6" s="4" t="n">
        <v>29544</v>
      </c>
      <c r="H6" s="4" t="n">
        <v>13762</v>
      </c>
      <c r="I6" s="4" t="n">
        <v>13107</v>
      </c>
      <c r="J6" s="4" t="n">
        <v>10631</v>
      </c>
      <c r="K6" s="4" t="n">
        <v>104816</v>
      </c>
      <c r="L6" s="5" t="n">
        <v>3.04</v>
      </c>
      <c r="M6" s="5" t="n">
        <v>69.9100036621094</v>
      </c>
      <c r="N6" s="6" t="s">
        <v>41</v>
      </c>
      <c r="O6" s="6" t="s">
        <v>42</v>
      </c>
      <c r="P6" s="6" t="s">
        <v>43</v>
      </c>
      <c r="Q6" s="0" t="n">
        <v>5</v>
      </c>
    </row>
    <row r="7" customFormat="false" ht="15" hidden="false" customHeight="false" outlineLevel="0" collapsed="false">
      <c r="A7" s="0" t="s">
        <v>44</v>
      </c>
      <c r="B7" s="0" t="s">
        <v>45</v>
      </c>
      <c r="C7" s="0" t="n">
        <v>2021</v>
      </c>
      <c r="D7" s="0" t="s">
        <v>46</v>
      </c>
      <c r="E7" s="4" t="n">
        <v>79474</v>
      </c>
      <c r="F7" s="4" t="n">
        <v>70372</v>
      </c>
      <c r="G7" s="4" t="n">
        <v>42399</v>
      </c>
      <c r="H7" s="4" t="n">
        <v>11162</v>
      </c>
      <c r="I7" s="4" t="n">
        <v>7618</v>
      </c>
      <c r="J7" s="4" t="n">
        <v>7120</v>
      </c>
      <c r="K7" s="4" t="n">
        <v>92377</v>
      </c>
      <c r="L7" s="5" t="n">
        <v>5.49</v>
      </c>
      <c r="M7" s="5" t="n">
        <v>173.710006713867</v>
      </c>
      <c r="N7" s="6" t="s">
        <v>27</v>
      </c>
      <c r="O7" s="6" t="s">
        <v>47</v>
      </c>
      <c r="P7" s="6" t="s">
        <v>48</v>
      </c>
      <c r="Q7" s="0" t="n">
        <v>5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n">
        <v>2022</v>
      </c>
      <c r="D8" s="0" t="s">
        <v>30</v>
      </c>
      <c r="E8" s="4" t="n">
        <v>86392</v>
      </c>
      <c r="F8" s="4" t="n">
        <v>79474</v>
      </c>
      <c r="G8" s="4" t="n">
        <v>45816</v>
      </c>
      <c r="H8" s="4" t="n">
        <v>11512</v>
      </c>
      <c r="I8" s="4" t="n">
        <v>8910</v>
      </c>
      <c r="J8" s="4" t="n">
        <v>7618</v>
      </c>
      <c r="K8" s="4" t="n">
        <v>92187</v>
      </c>
      <c r="L8" s="5" t="n">
        <v>6.42</v>
      </c>
      <c r="M8" s="5" t="n">
        <v>180.660003662109</v>
      </c>
      <c r="N8" s="6" t="s">
        <v>31</v>
      </c>
      <c r="O8" s="6" t="s">
        <v>49</v>
      </c>
      <c r="P8" s="6" t="s">
        <v>50</v>
      </c>
      <c r="Q8" s="0" t="n">
        <v>5</v>
      </c>
    </row>
    <row r="9" customFormat="false" ht="15" hidden="false" customHeight="false" outlineLevel="0" collapsed="false">
      <c r="A9" s="0" t="s">
        <v>44</v>
      </c>
      <c r="B9" s="0" t="s">
        <v>45</v>
      </c>
      <c r="C9" s="0" t="n">
        <v>2023</v>
      </c>
      <c r="D9" s="0" t="s">
        <v>51</v>
      </c>
      <c r="E9" s="4" t="n">
        <v>91471</v>
      </c>
      <c r="F9" s="4" t="n">
        <v>86392</v>
      </c>
      <c r="G9" s="4" t="n">
        <v>49590</v>
      </c>
      <c r="H9" s="4" t="n">
        <v>11986</v>
      </c>
      <c r="I9" s="4" t="n">
        <v>9074</v>
      </c>
      <c r="J9" s="4" t="n">
        <v>8910</v>
      </c>
      <c r="K9" s="4" t="n">
        <v>100495</v>
      </c>
      <c r="L9" s="5" t="n">
        <v>6.56</v>
      </c>
      <c r="M9" s="5" t="n">
        <v>169.839996337891</v>
      </c>
      <c r="N9" s="6" t="s">
        <v>35</v>
      </c>
      <c r="O9" s="6" t="s">
        <v>52</v>
      </c>
      <c r="P9" s="6" t="s">
        <v>53</v>
      </c>
      <c r="Q9" s="0" t="n">
        <v>5</v>
      </c>
    </row>
    <row r="10" customFormat="false" ht="15" hidden="false" customHeight="false" outlineLevel="0" collapsed="false">
      <c r="A10" s="0" t="s">
        <v>44</v>
      </c>
      <c r="B10" s="0" t="s">
        <v>45</v>
      </c>
      <c r="C10" s="0" t="n">
        <v>2024</v>
      </c>
      <c r="D10" s="0" t="s">
        <v>54</v>
      </c>
      <c r="E10" s="4" t="n">
        <v>91854</v>
      </c>
      <c r="F10" s="4" t="n">
        <v>91471</v>
      </c>
      <c r="G10" s="4" t="n">
        <v>50110</v>
      </c>
      <c r="H10" s="4" t="n">
        <v>12887</v>
      </c>
      <c r="I10" s="4" t="n">
        <v>9578</v>
      </c>
      <c r="J10" s="4" t="n">
        <v>9074</v>
      </c>
      <c r="K10" s="4" t="n">
        <v>99467</v>
      </c>
      <c r="L10" s="5" t="n">
        <v>6.95</v>
      </c>
      <c r="M10" s="5" t="n">
        <v>152.059997558594</v>
      </c>
      <c r="N10" s="6" t="s">
        <v>38</v>
      </c>
      <c r="O10" s="6" t="s">
        <v>55</v>
      </c>
      <c r="P10" s="6" t="s">
        <v>56</v>
      </c>
      <c r="Q10" s="0" t="n">
        <v>5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n">
        <v>2025</v>
      </c>
      <c r="D11" s="0" t="s">
        <v>57</v>
      </c>
      <c r="E11" s="4" t="n">
        <v>93925</v>
      </c>
      <c r="F11" s="4" t="n">
        <v>91854</v>
      </c>
      <c r="G11" s="4" t="n">
        <v>50859</v>
      </c>
      <c r="H11" s="4" t="n">
        <v>11498</v>
      </c>
      <c r="I11" s="4" t="n">
        <v>8240</v>
      </c>
      <c r="J11" s="4" t="n">
        <v>9578</v>
      </c>
      <c r="K11" s="4" t="n">
        <v>107399</v>
      </c>
      <c r="L11" s="5" t="n">
        <v>6</v>
      </c>
      <c r="M11" s="5" t="n">
        <v>143.520004272461</v>
      </c>
      <c r="N11" s="6" t="s">
        <v>41</v>
      </c>
      <c r="O11" s="6" t="s">
        <v>58</v>
      </c>
      <c r="P11" s="6" t="s">
        <v>59</v>
      </c>
      <c r="Q11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13"/>
    <col collapsed="false" customWidth="true" hidden="false" outlineLevel="0" max="8" min="8" style="0" width="23"/>
    <col collapsed="false" customWidth="true" hidden="false" outlineLevel="0" max="9" min="9" style="0" width="26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3" t="s">
        <v>8</v>
      </c>
      <c r="B1" s="3" t="s">
        <v>10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</row>
    <row r="2" customFormat="false" ht="15" hidden="false" customHeight="false" outlineLevel="0" collapsed="false">
      <c r="A2" s="0" t="str">
        <f aca="false">Inputs!A2</f>
        <v>The Coca-Cola Company</v>
      </c>
      <c r="B2" s="0" t="n">
        <f aca="false">Inputs!C2</f>
        <v>2021</v>
      </c>
      <c r="C2" s="7" t="n">
        <f aca="false">Inputs!E2/Inputs!F2-1</f>
        <v>0.170866904949415</v>
      </c>
      <c r="D2" s="7" t="n">
        <f aca="false">Inputs!I2/Inputs!J2-1</f>
        <v>0.261262424164193</v>
      </c>
      <c r="E2" s="7" t="n">
        <f aca="false">Inputs!G2/Inputs!E2</f>
        <v>0.602716336825766</v>
      </c>
      <c r="F2" s="7" t="n">
        <f aca="false">Inputs!H2/Inputs!E2</f>
        <v>0.266666666666667</v>
      </c>
      <c r="G2" s="7" t="n">
        <f aca="false">Inputs!I2/Inputs!E2</f>
        <v>0.252774544043461</v>
      </c>
      <c r="H2" s="8" t="n">
        <f aca="false">Inputs!E2/Inputs!E2*100</f>
        <v>100</v>
      </c>
      <c r="I2" s="8" t="n">
        <f aca="false">Inputs!I2/Inputs!I2*100</f>
        <v>100</v>
      </c>
      <c r="J2" s="9" t="n">
        <f aca="false">Inputs!M2/Inputs!L2</f>
        <v>26.3155551486545</v>
      </c>
    </row>
    <row r="3" customFormat="false" ht="15" hidden="false" customHeight="false" outlineLevel="0" collapsed="false">
      <c r="A3" s="0" t="str">
        <f aca="false">Inputs!A3</f>
        <v>The Coca-Cola Company</v>
      </c>
      <c r="B3" s="0" t="n">
        <f aca="false">Inputs!C3</f>
        <v>2022</v>
      </c>
      <c r="C3" s="7" t="n">
        <f aca="false">Inputs!E3/Inputs!F3-1</f>
        <v>0.112508084335791</v>
      </c>
      <c r="D3" s="7" t="n">
        <f aca="false">Inputs!I3/Inputs!J3-1</f>
        <v>-0.0234367004400777</v>
      </c>
      <c r="E3" s="7" t="n">
        <f aca="false">Inputs!G3/Inputs!E3</f>
        <v>0.581434285182774</v>
      </c>
      <c r="F3" s="7" t="n">
        <f aca="false">Inputs!H3/Inputs!E3</f>
        <v>0.253674076830062</v>
      </c>
      <c r="G3" s="7" t="n">
        <f aca="false">Inputs!I3/Inputs!E3</f>
        <v>0.221886336154776</v>
      </c>
      <c r="H3" s="8" t="n">
        <f aca="false">Inputs!E3/Inputs!E2*100</f>
        <v>111.250808433579</v>
      </c>
      <c r="I3" s="8" t="n">
        <f aca="false">Inputs!I3/Inputs!I2*100</f>
        <v>97.6563299559922</v>
      </c>
      <c r="J3" s="9" t="n">
        <f aca="false">Inputs!M3/Inputs!L3</f>
        <v>29.045662379156</v>
      </c>
    </row>
    <row r="4" customFormat="false" ht="15" hidden="false" customHeight="false" outlineLevel="0" collapsed="false">
      <c r="A4" s="0" t="str">
        <f aca="false">Inputs!A4</f>
        <v>The Coca-Cola Company</v>
      </c>
      <c r="B4" s="0" t="n">
        <f aca="false">Inputs!C4</f>
        <v>2023</v>
      </c>
      <c r="C4" s="7" t="n">
        <f aca="false">Inputs!E4/Inputs!F4-1</f>
        <v>0.063947539763743</v>
      </c>
      <c r="D4" s="7" t="n">
        <f aca="false">Inputs!I4/Inputs!J4-1</f>
        <v>0.122825403479354</v>
      </c>
      <c r="E4" s="7" t="n">
        <f aca="false">Inputs!G4/Inputs!E4</f>
        <v>0.595226646850549</v>
      </c>
      <c r="F4" s="7" t="n">
        <f aca="false">Inputs!H4/Inputs!E4</f>
        <v>0.247213358394894</v>
      </c>
      <c r="G4" s="7" t="n">
        <f aca="false">Inputs!I4/Inputs!E4</f>
        <v>0.234165318879224</v>
      </c>
      <c r="H4" s="8" t="n">
        <f aca="false">Inputs!E4/Inputs!E2*100</f>
        <v>118.365023929634</v>
      </c>
      <c r="I4" s="8" t="n">
        <f aca="false">Inputs!I4/Inputs!I2*100</f>
        <v>109.65100808515</v>
      </c>
      <c r="J4" s="9" t="n">
        <f aca="false">Inputs!M4/Inputs!L4</f>
        <v>23.8582997186946</v>
      </c>
    </row>
    <row r="5" customFormat="false" ht="15" hidden="false" customHeight="false" outlineLevel="0" collapsed="false">
      <c r="A5" s="0" t="str">
        <f aca="false">Inputs!A5</f>
        <v>The Coca-Cola Company</v>
      </c>
      <c r="B5" s="0" t="n">
        <f aca="false">Inputs!C5</f>
        <v>2024</v>
      </c>
      <c r="C5" s="7" t="n">
        <f aca="false">Inputs!E5/Inputs!F5-1</f>
        <v>0.0285658084539058</v>
      </c>
      <c r="D5" s="7" t="n">
        <f aca="false">Inputs!I5/Inputs!J5-1</f>
        <v>-0.00774687324995338</v>
      </c>
      <c r="E5" s="7" t="n">
        <f aca="false">Inputs!G5/Inputs!E5</f>
        <v>0.61063300822337</v>
      </c>
      <c r="F5" s="7" t="n">
        <f aca="false">Inputs!H5/Inputs!E5</f>
        <v>0.212320180191666</v>
      </c>
      <c r="G5" s="7" t="n">
        <f aca="false">Inputs!I5/Inputs!E5</f>
        <v>0.225898302203523</v>
      </c>
      <c r="H5" s="8" t="n">
        <f aca="false">Inputs!E5/Inputs!E2*100</f>
        <v>121.74621653085</v>
      </c>
      <c r="I5" s="8" t="n">
        <f aca="false">Inputs!I5/Inputs!I2*100</f>
        <v>108.801555623785</v>
      </c>
      <c r="J5" s="9" t="n">
        <f aca="false">Inputs!M5/Inputs!L5</f>
        <v>25.3089424071273</v>
      </c>
    </row>
    <row r="6" customFormat="false" ht="15" hidden="false" customHeight="false" outlineLevel="0" collapsed="false">
      <c r="A6" s="0" t="str">
        <f aca="false">Inputs!A6</f>
        <v>The Coca-Cola Company</v>
      </c>
      <c r="B6" s="0" t="n">
        <f aca="false">Inputs!C6</f>
        <v>2025</v>
      </c>
      <c r="C6" s="7" t="n">
        <f aca="false">Inputs!E6/Inputs!F6-1</f>
        <v>0.0186991351649985</v>
      </c>
      <c r="D6" s="7" t="n">
        <f aca="false">Inputs!I6/Inputs!J6-1</f>
        <v>0.232903771987584</v>
      </c>
      <c r="E6" s="7" t="n">
        <f aca="false">Inputs!G6/Inputs!E6</f>
        <v>0.61625748315638</v>
      </c>
      <c r="F6" s="7" t="n">
        <f aca="false">Inputs!H6/Inputs!E6</f>
        <v>0.287061179366304</v>
      </c>
      <c r="G6" s="7" t="n">
        <f aca="false">Inputs!I6/Inputs!E6</f>
        <v>0.273398552387309</v>
      </c>
      <c r="H6" s="8" t="n">
        <f aca="false">Inputs!E6/Inputs!E2*100</f>
        <v>124.022765489587</v>
      </c>
      <c r="I6" s="8" t="n">
        <f aca="false">Inputs!I6/Inputs!I2*100</f>
        <v>134.141848326681</v>
      </c>
      <c r="J6" s="9" t="n">
        <f aca="false">Inputs!M6/Inputs!L6</f>
        <v>22.996711730957</v>
      </c>
    </row>
    <row r="7" customFormat="false" ht="15" hidden="false" customHeight="false" outlineLevel="0" collapsed="false">
      <c r="A7" s="0" t="str">
        <f aca="false">Inputs!A7</f>
        <v>PepsiCo, Inc.</v>
      </c>
      <c r="B7" s="0" t="n">
        <f aca="false">Inputs!C7</f>
        <v>2021</v>
      </c>
      <c r="C7" s="7" t="n">
        <f aca="false">Inputs!E7/Inputs!F7-1</f>
        <v>0.129341215256068</v>
      </c>
      <c r="D7" s="7" t="n">
        <f aca="false">Inputs!I7/Inputs!J7-1</f>
        <v>0.0699438202247191</v>
      </c>
      <c r="E7" s="7" t="n">
        <f aca="false">Inputs!G7/Inputs!E7</f>
        <v>0.533495231144777</v>
      </c>
      <c r="F7" s="7" t="n">
        <f aca="false">Inputs!H7/Inputs!E7</f>
        <v>0.140448448549211</v>
      </c>
      <c r="G7" s="7" t="n">
        <f aca="false">Inputs!I7/Inputs!E7</f>
        <v>0.0958552482572917</v>
      </c>
      <c r="H7" s="8" t="n">
        <f aca="false">Inputs!E7/Inputs!E7*100</f>
        <v>100</v>
      </c>
      <c r="I7" s="8" t="n">
        <f aca="false">Inputs!I7/Inputs!I7*100</f>
        <v>100</v>
      </c>
      <c r="J7" s="9" t="n">
        <f aca="false">Inputs!M7/Inputs!L7</f>
        <v>31.6411669788465</v>
      </c>
    </row>
    <row r="8" customFormat="false" ht="15" hidden="false" customHeight="false" outlineLevel="0" collapsed="false">
      <c r="A8" s="0" t="str">
        <f aca="false">Inputs!A8</f>
        <v>PepsiCo, Inc.</v>
      </c>
      <c r="B8" s="0" t="n">
        <f aca="false">Inputs!C8</f>
        <v>2022</v>
      </c>
      <c r="C8" s="7" t="n">
        <f aca="false">Inputs!E8/Inputs!F8-1</f>
        <v>0.08704733623575</v>
      </c>
      <c r="D8" s="7" t="n">
        <f aca="false">Inputs!I8/Inputs!J8-1</f>
        <v>0.169598319768968</v>
      </c>
      <c r="E8" s="7" t="n">
        <f aca="false">Inputs!G8/Inputs!E8</f>
        <v>0.530326882118715</v>
      </c>
      <c r="F8" s="7" t="n">
        <f aca="false">Inputs!H8/Inputs!E8</f>
        <v>0.133253078988795</v>
      </c>
      <c r="G8" s="7" t="n">
        <f aca="false">Inputs!I8/Inputs!E8</f>
        <v>0.103134549495324</v>
      </c>
      <c r="H8" s="8" t="n">
        <f aca="false">Inputs!E8/Inputs!E7*100</f>
        <v>108.704733623575</v>
      </c>
      <c r="I8" s="8" t="n">
        <f aca="false">Inputs!I8/Inputs!I7*100</f>
        <v>116.959831976897</v>
      </c>
      <c r="J8" s="9" t="n">
        <f aca="false">Inputs!M8/Inputs!L8</f>
        <v>28.1401874863099</v>
      </c>
    </row>
    <row r="9" customFormat="false" ht="15" hidden="false" customHeight="false" outlineLevel="0" collapsed="false">
      <c r="A9" s="0" t="str">
        <f aca="false">Inputs!A9</f>
        <v>PepsiCo, Inc.</v>
      </c>
      <c r="B9" s="0" t="n">
        <f aca="false">Inputs!C9</f>
        <v>2023</v>
      </c>
      <c r="C9" s="7" t="n">
        <f aca="false">Inputs!E9/Inputs!F9-1</f>
        <v>0.0587901657560885</v>
      </c>
      <c r="D9" s="7" t="n">
        <f aca="false">Inputs!I9/Inputs!J9-1</f>
        <v>0.0184062850729518</v>
      </c>
      <c r="E9" s="7" t="n">
        <f aca="false">Inputs!G9/Inputs!E9</f>
        <v>0.542139038602399</v>
      </c>
      <c r="F9" s="7" t="n">
        <f aca="false">Inputs!H9/Inputs!E9</f>
        <v>0.131036066075587</v>
      </c>
      <c r="G9" s="7" t="n">
        <f aca="false">Inputs!I9/Inputs!E9</f>
        <v>0.0992008396103683</v>
      </c>
      <c r="H9" s="8" t="n">
        <f aca="false">Inputs!E9/Inputs!E7*100</f>
        <v>115.095502931776</v>
      </c>
      <c r="I9" s="8" t="n">
        <f aca="false">Inputs!I9/Inputs!I7*100</f>
        <v>119.112627986348</v>
      </c>
      <c r="J9" s="9" t="n">
        <f aca="false">Inputs!M9/Inputs!L9</f>
        <v>25.8902433441906</v>
      </c>
    </row>
    <row r="10" customFormat="false" ht="15" hidden="false" customHeight="false" outlineLevel="0" collapsed="false">
      <c r="A10" s="0" t="str">
        <f aca="false">Inputs!A10</f>
        <v>PepsiCo, Inc.</v>
      </c>
      <c r="B10" s="0" t="n">
        <f aca="false">Inputs!C10</f>
        <v>2024</v>
      </c>
      <c r="C10" s="7" t="n">
        <f aca="false">Inputs!E10/Inputs!F10-1</f>
        <v>0.00418711941489658</v>
      </c>
      <c r="D10" s="7" t="n">
        <f aca="false">Inputs!I10/Inputs!J10-1</f>
        <v>0.0555433105576373</v>
      </c>
      <c r="E10" s="7" t="n">
        <f aca="false">Inputs!G10/Inputs!E10</f>
        <v>0.545539660765998</v>
      </c>
      <c r="F10" s="7" t="n">
        <f aca="false">Inputs!H10/Inputs!E10</f>
        <v>0.140298734948941</v>
      </c>
      <c r="G10" s="7" t="n">
        <f aca="false">Inputs!I10/Inputs!E10</f>
        <v>0.104274174233022</v>
      </c>
      <c r="H10" s="8" t="n">
        <f aca="false">Inputs!E10/Inputs!E7*100</f>
        <v>115.577421546669</v>
      </c>
      <c r="I10" s="8" t="n">
        <f aca="false">Inputs!I10/Inputs!I7*100</f>
        <v>125.72853767393</v>
      </c>
      <c r="J10" s="9" t="n">
        <f aca="false">Inputs!M10/Inputs!L10</f>
        <v>21.879136339366</v>
      </c>
    </row>
    <row r="11" customFormat="false" ht="15" hidden="false" customHeight="false" outlineLevel="0" collapsed="false">
      <c r="A11" s="0" t="str">
        <f aca="false">Inputs!A11</f>
        <v>PepsiCo, Inc.</v>
      </c>
      <c r="B11" s="0" t="n">
        <f aca="false">Inputs!C11</f>
        <v>2025</v>
      </c>
      <c r="C11" s="7" t="n">
        <f aca="false">Inputs!E11/Inputs!F11-1</f>
        <v>0.0225466501186666</v>
      </c>
      <c r="D11" s="7" t="n">
        <f aca="false">Inputs!I11/Inputs!J11-1</f>
        <v>-0.13969513468365</v>
      </c>
      <c r="E11" s="7" t="n">
        <f aca="false">Inputs!G11/Inputs!E11</f>
        <v>0.541485227575193</v>
      </c>
      <c r="F11" s="7" t="n">
        <f aca="false">Inputs!H11/Inputs!E11</f>
        <v>0.122416821932393</v>
      </c>
      <c r="G11" s="7" t="n">
        <f aca="false">Inputs!I11/Inputs!E11</f>
        <v>0.0877295714665957</v>
      </c>
      <c r="H11" s="8" t="n">
        <f aca="false">Inputs!E11/Inputs!E7*100</f>
        <v>118.1833052319</v>
      </c>
      <c r="I11" s="8" t="n">
        <f aca="false">Inputs!I11/Inputs!I7*100</f>
        <v>108.164872669992</v>
      </c>
      <c r="J11" s="9" t="n">
        <f aca="false">Inputs!M11/Inputs!L11</f>
        <v>23.9200007120768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20"/>
    <col collapsed="false" customWidth="true" hidden="false" outlineLevel="0" max="5" min="5" style="0" width="80"/>
  </cols>
  <sheetData>
    <row r="1" customFormat="false" ht="15" hidden="false" customHeight="false" outlineLevel="0" collapsed="false">
      <c r="A1" s="10" t="s">
        <v>68</v>
      </c>
      <c r="B1" s="10" t="s">
        <v>69</v>
      </c>
      <c r="C1" s="10" t="s">
        <v>70</v>
      </c>
      <c r="D1" s="10" t="s">
        <v>71</v>
      </c>
      <c r="E1" s="10" t="s">
        <v>72</v>
      </c>
    </row>
    <row r="2" customFormat="false" ht="15" hidden="false" customHeight="false" outlineLevel="0" collapsed="false">
      <c r="A2" s="0" t="s">
        <v>73</v>
      </c>
      <c r="B2" s="11" t="n">
        <f aca="false">Inputs!E2</f>
        <v>38655</v>
      </c>
      <c r="C2" s="11" t="n">
        <f aca="false">Inputs!E7</f>
        <v>79474</v>
      </c>
      <c r="D2" s="11" t="n">
        <f aca="false">B2-C2</f>
        <v>-40819</v>
      </c>
    </row>
    <row r="3" customFormat="false" ht="15" hidden="false" customHeight="false" outlineLevel="0" collapsed="false">
      <c r="A3" s="0" t="s">
        <v>74</v>
      </c>
      <c r="B3" s="11" t="n">
        <f aca="false">Inputs!E6</f>
        <v>47941</v>
      </c>
      <c r="C3" s="11" t="n">
        <f aca="false">Inputs!E11</f>
        <v>93925</v>
      </c>
      <c r="D3" s="11" t="n">
        <f aca="false">B3-C3</f>
        <v>-45984</v>
      </c>
    </row>
    <row r="4" customFormat="false" ht="15" hidden="false" customHeight="false" outlineLevel="0" collapsed="false">
      <c r="A4" s="0" t="s">
        <v>75</v>
      </c>
      <c r="B4" s="12" t="n">
        <f aca="false">(Inputs!E6/Inputs!E2)^(1/4)-1</f>
        <v>0.0552985776265169</v>
      </c>
      <c r="C4" s="12" t="n">
        <f aca="false">(Inputs!E11/Inputs!E7)^(1/4)-1</f>
        <v>0.0426511652625359</v>
      </c>
      <c r="D4" s="13" t="n">
        <f aca="false">(B4-C4)*100</f>
        <v>1.2647412363981</v>
      </c>
      <c r="E4" s="6" t="s">
        <v>76</v>
      </c>
    </row>
    <row r="5" customFormat="false" ht="15" hidden="false" customHeight="false" outlineLevel="0" collapsed="false">
      <c r="A5" s="0" t="s">
        <v>77</v>
      </c>
      <c r="B5" s="12" t="n">
        <f aca="false">(Inputs!H6/Inputs!H2)^(1/4)-1</f>
        <v>0.0749215901214846</v>
      </c>
      <c r="C5" s="12" t="n">
        <f aca="false">(Inputs!H11/Inputs!H7)^(1/4)-1</f>
        <v>0.0074420440910441</v>
      </c>
      <c r="D5" s="13" t="n">
        <f aca="false">(B5-C5)*100</f>
        <v>6.74795460304405</v>
      </c>
    </row>
    <row r="6" customFormat="false" ht="15" hidden="false" customHeight="false" outlineLevel="0" collapsed="false">
      <c r="A6" s="0" t="s">
        <v>78</v>
      </c>
      <c r="B6" s="12" t="n">
        <f aca="false">(Inputs!I6/Inputs!I2)^(1/4)-1</f>
        <v>0.0761952516499298</v>
      </c>
      <c r="C6" s="12" t="n">
        <f aca="false">(Inputs!I11/Inputs!I7)^(1/4)-1</f>
        <v>0.0198153882121033</v>
      </c>
      <c r="D6" s="13" t="n">
        <f aca="false">(B6-C6)*100</f>
        <v>5.63798634378265</v>
      </c>
      <c r="E6" s="6" t="s">
        <v>79</v>
      </c>
    </row>
    <row r="7" customFormat="false" ht="15" hidden="false" customHeight="false" outlineLevel="0" collapsed="false">
      <c r="A7" s="0" t="s">
        <v>80</v>
      </c>
      <c r="B7" s="7" t="n">
        <f aca="false">AVERAGE(Calculations!E2:E6)</f>
        <v>0.601253552047768</v>
      </c>
      <c r="C7" s="7" t="n">
        <f aca="false">AVERAGE(Calculations!E7:E11)</f>
        <v>0.538597208041416</v>
      </c>
      <c r="D7" s="13" t="n">
        <f aca="false">(B7-C7)*100</f>
        <v>6.26563440063513</v>
      </c>
    </row>
    <row r="8" customFormat="false" ht="15" hidden="false" customHeight="false" outlineLevel="0" collapsed="false">
      <c r="A8" s="0" t="s">
        <v>81</v>
      </c>
      <c r="B8" s="7" t="n">
        <f aca="false">AVERAGE(Calculations!F2:F6)</f>
        <v>0.253387092289919</v>
      </c>
      <c r="C8" s="7" t="n">
        <f aca="false">AVERAGE(Calculations!F7:F11)</f>
        <v>0.133490630098985</v>
      </c>
      <c r="D8" s="13" t="n">
        <f aca="false">(B8-C8)*100</f>
        <v>11.9896462190933</v>
      </c>
      <c r="E8" s="6" t="s">
        <v>82</v>
      </c>
    </row>
    <row r="9" customFormat="false" ht="15" hidden="false" customHeight="false" outlineLevel="0" collapsed="false">
      <c r="A9" s="0" t="s">
        <v>83</v>
      </c>
      <c r="B9" s="7" t="n">
        <f aca="false">AVERAGE(Calculations!G2:G6)</f>
        <v>0.241624610733659</v>
      </c>
      <c r="C9" s="7" t="n">
        <f aca="false">AVERAGE(Calculations!G7:G11)</f>
        <v>0.0980388766125203</v>
      </c>
      <c r="D9" s="13" t="n">
        <f aca="false">(B9-C9)*100</f>
        <v>14.3585734121139</v>
      </c>
    </row>
    <row r="10" customFormat="false" ht="15" hidden="false" customHeight="false" outlineLevel="0" collapsed="false">
      <c r="A10" s="0" t="s">
        <v>84</v>
      </c>
      <c r="B10" s="7" t="n">
        <f aca="false">Calculations!F6</f>
        <v>0.287061179366304</v>
      </c>
      <c r="C10" s="7" t="n">
        <f aca="false">Calculations!F11</f>
        <v>0.122416821932393</v>
      </c>
      <c r="D10" s="13" t="n">
        <f aca="false">(B10-C10)*100</f>
        <v>16.4644357433912</v>
      </c>
    </row>
    <row r="11" customFormat="false" ht="15" hidden="false" customHeight="false" outlineLevel="0" collapsed="false">
      <c r="A11" s="0" t="s">
        <v>85</v>
      </c>
      <c r="B11" s="7" t="n">
        <f aca="false">Calculations!G6</f>
        <v>0.273398552387309</v>
      </c>
      <c r="C11" s="7" t="n">
        <f aca="false">Calculations!G11</f>
        <v>0.0877295714665957</v>
      </c>
      <c r="D11" s="13" t="n">
        <f aca="false">(B11-C11)*100</f>
        <v>18.5668980920714</v>
      </c>
    </row>
    <row r="12" customFormat="false" ht="15" hidden="false" customHeight="false" outlineLevel="0" collapsed="false">
      <c r="A12" s="0" t="s">
        <v>86</v>
      </c>
      <c r="B12" s="14" t="n">
        <f aca="false">COUNTIFS(Calculations!C2:C6,"&gt;0",Calculations!D2:D6,"&gt;0")</f>
        <v>3</v>
      </c>
      <c r="C12" s="14" t="n">
        <f aca="false">COUNTIFS(Calculations!C7:C11,"&gt;0",Calculations!D7:D11,"&gt;0")</f>
        <v>4</v>
      </c>
      <c r="D12" s="14" t="n">
        <f aca="false">B12-C12</f>
        <v>-1</v>
      </c>
    </row>
    <row r="13" customFormat="false" ht="15" hidden="false" customHeight="false" outlineLevel="0" collapsed="false">
      <c r="A13" s="0" t="s">
        <v>87</v>
      </c>
      <c r="B13" s="9" t="n">
        <f aca="false">Calculations!J6</f>
        <v>22.996711730957</v>
      </c>
      <c r="C13" s="9" t="n">
        <f aca="false">Calculations!J11</f>
        <v>23.9200007120768</v>
      </c>
      <c r="D13" s="9" t="n">
        <f aca="false">B13-C13</f>
        <v>-0.923288981119786</v>
      </c>
      <c r="E13" s="6" t="s">
        <v>88</v>
      </c>
    </row>
    <row r="15" customFormat="false" ht="15" hidden="false" customHeight="false" outlineLevel="0" collapsed="false">
      <c r="A15" s="0" t="s">
        <v>89</v>
      </c>
      <c r="B15" s="7" t="n">
        <f aca="false">C13/B13-1</f>
        <v>0.0401487391728661</v>
      </c>
    </row>
    <row r="16" customFormat="false" ht="15" hidden="false" customHeight="false" outlineLevel="0" collapsed="false">
      <c r="A16" s="15" t="s">
        <v>90</v>
      </c>
    </row>
    <row r="17" customFormat="false" ht="15" hidden="false" customHeight="false" outlineLevel="0" collapsed="false">
      <c r="A17" s="0" t="s">
        <v>91</v>
      </c>
      <c r="B17" s="16" t="n">
        <f aca="false">Calculations!J7-Calculations!J2</f>
        <v>5.32561183019196</v>
      </c>
    </row>
    <row r="18" customFormat="false" ht="15" hidden="false" customHeight="false" outlineLevel="0" collapsed="false">
      <c r="A18" s="0" t="s">
        <v>92</v>
      </c>
      <c r="B18" s="16" t="n">
        <f aca="false">Calculations!J8-Calculations!J3</f>
        <v>-0.905474892846087</v>
      </c>
    </row>
    <row r="19" customFormat="false" ht="15" hidden="false" customHeight="false" outlineLevel="0" collapsed="false">
      <c r="A19" s="0" t="s">
        <v>93</v>
      </c>
      <c r="B19" s="16" t="n">
        <f aca="false">Calculations!J9-Calculations!J4</f>
        <v>2.03194362549599</v>
      </c>
    </row>
    <row r="20" customFormat="false" ht="15" hidden="false" customHeight="false" outlineLevel="0" collapsed="false">
      <c r="A20" s="0" t="s">
        <v>94</v>
      </c>
      <c r="B20" s="16" t="n">
        <f aca="false">Calculations!J10-Calculations!J5</f>
        <v>-3.42980606776131</v>
      </c>
    </row>
    <row r="21" customFormat="false" ht="15" hidden="false" customHeight="false" outlineLevel="0" collapsed="false">
      <c r="A21" s="0" t="s">
        <v>95</v>
      </c>
      <c r="B21" s="16" t="n">
        <f aca="false">Calculations!J11-Calculations!J6</f>
        <v>0.923288981119786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80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3" t="s">
        <v>8</v>
      </c>
      <c r="B1" s="3" t="s">
        <v>68</v>
      </c>
      <c r="C1" s="3" t="s">
        <v>10</v>
      </c>
      <c r="D1" s="3" t="s">
        <v>96</v>
      </c>
      <c r="E1" s="3" t="s">
        <v>97</v>
      </c>
      <c r="F1" s="3" t="s">
        <v>98</v>
      </c>
    </row>
    <row r="2" customFormat="false" ht="15" hidden="false" customHeight="false" outlineLevel="0" collapsed="false">
      <c r="A2" s="0" t="s">
        <v>26</v>
      </c>
      <c r="B2" s="0" t="s">
        <v>99</v>
      </c>
      <c r="C2" s="0" t="n">
        <v>2021</v>
      </c>
      <c r="D2" s="0" t="n">
        <v>38655</v>
      </c>
      <c r="E2" s="0" t="s">
        <v>37</v>
      </c>
      <c r="F2" s="0" t="s">
        <v>100</v>
      </c>
    </row>
    <row r="3" customFormat="false" ht="15" hidden="false" customHeight="false" outlineLevel="0" collapsed="false">
      <c r="A3" s="0" t="s">
        <v>26</v>
      </c>
      <c r="B3" s="0" t="s">
        <v>101</v>
      </c>
      <c r="C3" s="0" t="n">
        <v>2021</v>
      </c>
      <c r="D3" s="0" t="n">
        <v>23298</v>
      </c>
      <c r="E3" s="0" t="s">
        <v>37</v>
      </c>
      <c r="F3" s="0" t="s">
        <v>100</v>
      </c>
    </row>
    <row r="4" customFormat="false" ht="15" hidden="false" customHeight="false" outlineLevel="0" collapsed="false">
      <c r="A4" s="0" t="s">
        <v>26</v>
      </c>
      <c r="B4" s="0" t="s">
        <v>102</v>
      </c>
      <c r="C4" s="0" t="n">
        <v>2021</v>
      </c>
      <c r="D4" s="0" t="n">
        <v>10308</v>
      </c>
      <c r="E4" s="0" t="s">
        <v>37</v>
      </c>
      <c r="F4" s="0" t="s">
        <v>100</v>
      </c>
    </row>
    <row r="5" customFormat="false" ht="15" hidden="false" customHeight="false" outlineLevel="0" collapsed="false">
      <c r="A5" s="0" t="s">
        <v>26</v>
      </c>
      <c r="B5" s="0" t="s">
        <v>103</v>
      </c>
      <c r="C5" s="0" t="n">
        <v>2021</v>
      </c>
      <c r="D5" s="0" t="n">
        <v>9771</v>
      </c>
      <c r="E5" s="0" t="s">
        <v>37</v>
      </c>
      <c r="F5" s="0" t="s">
        <v>100</v>
      </c>
    </row>
    <row r="6" customFormat="false" ht="15" hidden="false" customHeight="false" outlineLevel="0" collapsed="false">
      <c r="A6" s="0" t="s">
        <v>26</v>
      </c>
      <c r="B6" s="0" t="s">
        <v>104</v>
      </c>
      <c r="C6" s="0" t="n">
        <v>2021</v>
      </c>
      <c r="D6" s="0" t="n">
        <v>2.25</v>
      </c>
      <c r="E6" s="0" t="s">
        <v>37</v>
      </c>
      <c r="F6" s="0" t="s">
        <v>100</v>
      </c>
    </row>
    <row r="7" customFormat="false" ht="15" hidden="false" customHeight="false" outlineLevel="0" collapsed="false">
      <c r="A7" s="0" t="s">
        <v>26</v>
      </c>
      <c r="B7" s="0" t="s">
        <v>99</v>
      </c>
      <c r="C7" s="0" t="n">
        <v>2022</v>
      </c>
      <c r="D7" s="0" t="n">
        <v>43004</v>
      </c>
      <c r="E7" s="0" t="s">
        <v>37</v>
      </c>
      <c r="F7" s="0" t="s">
        <v>100</v>
      </c>
    </row>
    <row r="8" customFormat="false" ht="15" hidden="false" customHeight="false" outlineLevel="0" collapsed="false">
      <c r="A8" s="0" t="s">
        <v>26</v>
      </c>
      <c r="B8" s="0" t="s">
        <v>101</v>
      </c>
      <c r="C8" s="0" t="n">
        <v>2022</v>
      </c>
      <c r="D8" s="0" t="n">
        <v>25004</v>
      </c>
      <c r="E8" s="0" t="s">
        <v>37</v>
      </c>
      <c r="F8" s="0" t="s">
        <v>100</v>
      </c>
    </row>
    <row r="9" customFormat="false" ht="15" hidden="false" customHeight="false" outlineLevel="0" collapsed="false">
      <c r="A9" s="0" t="s">
        <v>26</v>
      </c>
      <c r="B9" s="0" t="s">
        <v>102</v>
      </c>
      <c r="C9" s="0" t="n">
        <v>2022</v>
      </c>
      <c r="D9" s="0" t="n">
        <v>10909</v>
      </c>
      <c r="E9" s="0" t="s">
        <v>37</v>
      </c>
      <c r="F9" s="0" t="s">
        <v>100</v>
      </c>
    </row>
    <row r="10" customFormat="false" ht="15" hidden="false" customHeight="false" outlineLevel="0" collapsed="false">
      <c r="A10" s="0" t="s">
        <v>26</v>
      </c>
      <c r="B10" s="0" t="s">
        <v>103</v>
      </c>
      <c r="C10" s="0" t="n">
        <v>2022</v>
      </c>
      <c r="D10" s="0" t="n">
        <v>9542</v>
      </c>
      <c r="E10" s="0" t="s">
        <v>37</v>
      </c>
      <c r="F10" s="0" t="s">
        <v>100</v>
      </c>
    </row>
    <row r="11" customFormat="false" ht="15" hidden="false" customHeight="false" outlineLevel="0" collapsed="false">
      <c r="A11" s="0" t="s">
        <v>26</v>
      </c>
      <c r="B11" s="0" t="s">
        <v>104</v>
      </c>
      <c r="C11" s="0" t="n">
        <v>2022</v>
      </c>
      <c r="D11" s="0" t="n">
        <v>2.19</v>
      </c>
      <c r="E11" s="0" t="s">
        <v>37</v>
      </c>
      <c r="F11" s="0" t="s">
        <v>100</v>
      </c>
    </row>
    <row r="12" customFormat="false" ht="15" hidden="false" customHeight="false" outlineLevel="0" collapsed="false">
      <c r="A12" s="0" t="s">
        <v>26</v>
      </c>
      <c r="B12" s="0" t="s">
        <v>99</v>
      </c>
      <c r="C12" s="0" t="n">
        <v>2023</v>
      </c>
      <c r="D12" s="0" t="n">
        <v>45754</v>
      </c>
      <c r="E12" s="0" t="s">
        <v>37</v>
      </c>
      <c r="F12" s="0" t="s">
        <v>100</v>
      </c>
    </row>
    <row r="13" customFormat="false" ht="15" hidden="false" customHeight="false" outlineLevel="0" collapsed="false">
      <c r="A13" s="0" t="s">
        <v>26</v>
      </c>
      <c r="B13" s="0" t="s">
        <v>101</v>
      </c>
      <c r="C13" s="0" t="n">
        <v>2023</v>
      </c>
      <c r="D13" s="0" t="n">
        <v>27234</v>
      </c>
      <c r="E13" s="0" t="s">
        <v>37</v>
      </c>
      <c r="F13" s="0" t="s">
        <v>100</v>
      </c>
    </row>
    <row r="14" customFormat="false" ht="15" hidden="false" customHeight="false" outlineLevel="0" collapsed="false">
      <c r="A14" s="0" t="s">
        <v>26</v>
      </c>
      <c r="B14" s="0" t="s">
        <v>102</v>
      </c>
      <c r="C14" s="0" t="n">
        <v>2023</v>
      </c>
      <c r="D14" s="0" t="n">
        <v>11311</v>
      </c>
      <c r="E14" s="0" t="s">
        <v>37</v>
      </c>
      <c r="F14" s="0" t="s">
        <v>100</v>
      </c>
    </row>
    <row r="15" customFormat="false" ht="15" hidden="false" customHeight="false" outlineLevel="0" collapsed="false">
      <c r="A15" s="0" t="s">
        <v>26</v>
      </c>
      <c r="B15" s="0" t="s">
        <v>103</v>
      </c>
      <c r="C15" s="0" t="n">
        <v>2023</v>
      </c>
      <c r="D15" s="0" t="n">
        <v>10714</v>
      </c>
      <c r="E15" s="0" t="s">
        <v>37</v>
      </c>
      <c r="F15" s="0" t="s">
        <v>100</v>
      </c>
    </row>
    <row r="16" customFormat="false" ht="15" hidden="false" customHeight="false" outlineLevel="0" collapsed="false">
      <c r="A16" s="0" t="s">
        <v>26</v>
      </c>
      <c r="B16" s="0" t="s">
        <v>104</v>
      </c>
      <c r="C16" s="0" t="n">
        <v>2023</v>
      </c>
      <c r="D16" s="0" t="n">
        <v>2.47</v>
      </c>
      <c r="E16" s="0" t="s">
        <v>37</v>
      </c>
      <c r="F16" s="0" t="s">
        <v>100</v>
      </c>
    </row>
    <row r="17" customFormat="false" ht="15" hidden="false" customHeight="false" outlineLevel="0" collapsed="false">
      <c r="A17" s="0" t="s">
        <v>26</v>
      </c>
      <c r="B17" s="0" t="s">
        <v>99</v>
      </c>
      <c r="C17" s="0" t="n">
        <v>2024</v>
      </c>
      <c r="D17" s="0" t="n">
        <v>47061</v>
      </c>
      <c r="E17" s="0" t="s">
        <v>43</v>
      </c>
      <c r="F17" s="0" t="s">
        <v>100</v>
      </c>
    </row>
    <row r="18" customFormat="false" ht="15" hidden="false" customHeight="false" outlineLevel="0" collapsed="false">
      <c r="A18" s="0" t="s">
        <v>26</v>
      </c>
      <c r="B18" s="0" t="s">
        <v>101</v>
      </c>
      <c r="C18" s="0" t="n">
        <v>2024</v>
      </c>
      <c r="D18" s="0" t="n">
        <v>28737</v>
      </c>
      <c r="E18" s="0" t="s">
        <v>43</v>
      </c>
      <c r="F18" s="0" t="s">
        <v>100</v>
      </c>
    </row>
    <row r="19" customFormat="false" ht="15" hidden="false" customHeight="false" outlineLevel="0" collapsed="false">
      <c r="A19" s="0" t="s">
        <v>26</v>
      </c>
      <c r="B19" s="0" t="s">
        <v>102</v>
      </c>
      <c r="C19" s="0" t="n">
        <v>2024</v>
      </c>
      <c r="D19" s="0" t="n">
        <v>9992</v>
      </c>
      <c r="E19" s="0" t="s">
        <v>43</v>
      </c>
      <c r="F19" s="0" t="s">
        <v>100</v>
      </c>
    </row>
    <row r="20" customFormat="false" ht="15" hidden="false" customHeight="false" outlineLevel="0" collapsed="false">
      <c r="A20" s="0" t="s">
        <v>26</v>
      </c>
      <c r="B20" s="0" t="s">
        <v>103</v>
      </c>
      <c r="C20" s="0" t="n">
        <v>2024</v>
      </c>
      <c r="D20" s="0" t="n">
        <v>10631</v>
      </c>
      <c r="E20" s="0" t="s">
        <v>43</v>
      </c>
      <c r="F20" s="0" t="s">
        <v>100</v>
      </c>
    </row>
    <row r="21" customFormat="false" ht="15" hidden="false" customHeight="false" outlineLevel="0" collapsed="false">
      <c r="A21" s="0" t="s">
        <v>26</v>
      </c>
      <c r="B21" s="0" t="s">
        <v>104</v>
      </c>
      <c r="C21" s="0" t="n">
        <v>2024</v>
      </c>
      <c r="D21" s="0" t="n">
        <v>2.46</v>
      </c>
      <c r="E21" s="0" t="s">
        <v>43</v>
      </c>
      <c r="F21" s="0" t="s">
        <v>100</v>
      </c>
    </row>
    <row r="22" customFormat="false" ht="15" hidden="false" customHeight="false" outlineLevel="0" collapsed="false">
      <c r="A22" s="0" t="s">
        <v>26</v>
      </c>
      <c r="B22" s="0" t="s">
        <v>99</v>
      </c>
      <c r="C22" s="0" t="n">
        <v>2025</v>
      </c>
      <c r="D22" s="0" t="n">
        <v>47941</v>
      </c>
      <c r="E22" s="0" t="s">
        <v>43</v>
      </c>
      <c r="F22" s="0" t="s">
        <v>100</v>
      </c>
    </row>
    <row r="23" customFormat="false" ht="15" hidden="false" customHeight="false" outlineLevel="0" collapsed="false">
      <c r="A23" s="0" t="s">
        <v>26</v>
      </c>
      <c r="B23" s="0" t="s">
        <v>101</v>
      </c>
      <c r="C23" s="0" t="n">
        <v>2025</v>
      </c>
      <c r="D23" s="0" t="n">
        <v>29544</v>
      </c>
      <c r="E23" s="0" t="s">
        <v>43</v>
      </c>
      <c r="F23" s="0" t="s">
        <v>100</v>
      </c>
    </row>
    <row r="24" customFormat="false" ht="15" hidden="false" customHeight="false" outlineLevel="0" collapsed="false">
      <c r="A24" s="0" t="s">
        <v>26</v>
      </c>
      <c r="B24" s="0" t="s">
        <v>102</v>
      </c>
      <c r="C24" s="0" t="n">
        <v>2025</v>
      </c>
      <c r="D24" s="0" t="n">
        <v>13762</v>
      </c>
      <c r="E24" s="0" t="s">
        <v>43</v>
      </c>
      <c r="F24" s="0" t="s">
        <v>100</v>
      </c>
    </row>
    <row r="25" customFormat="false" ht="15" hidden="false" customHeight="false" outlineLevel="0" collapsed="false">
      <c r="A25" s="0" t="s">
        <v>26</v>
      </c>
      <c r="B25" s="0" t="s">
        <v>103</v>
      </c>
      <c r="C25" s="0" t="n">
        <v>2025</v>
      </c>
      <c r="D25" s="0" t="n">
        <v>13107</v>
      </c>
      <c r="E25" s="0" t="s">
        <v>43</v>
      </c>
      <c r="F25" s="0" t="s">
        <v>100</v>
      </c>
    </row>
    <row r="26" customFormat="false" ht="15" hidden="false" customHeight="false" outlineLevel="0" collapsed="false">
      <c r="A26" s="0" t="s">
        <v>26</v>
      </c>
      <c r="B26" s="0" t="s">
        <v>104</v>
      </c>
      <c r="C26" s="0" t="n">
        <v>2025</v>
      </c>
      <c r="D26" s="0" t="n">
        <v>3.04</v>
      </c>
      <c r="E26" s="0" t="s">
        <v>43</v>
      </c>
      <c r="F26" s="0" t="s">
        <v>100</v>
      </c>
    </row>
    <row r="27" customFormat="false" ht="15" hidden="false" customHeight="false" outlineLevel="0" collapsed="false">
      <c r="A27" s="0" t="s">
        <v>45</v>
      </c>
      <c r="B27" s="0" t="s">
        <v>99</v>
      </c>
      <c r="C27" s="0" t="n">
        <v>2021</v>
      </c>
      <c r="D27" s="0" t="n">
        <v>79474</v>
      </c>
      <c r="E27" s="0" t="s">
        <v>53</v>
      </c>
      <c r="F27" s="0" t="s">
        <v>100</v>
      </c>
    </row>
    <row r="28" customFormat="false" ht="15" hidden="false" customHeight="false" outlineLevel="0" collapsed="false">
      <c r="A28" s="0" t="s">
        <v>45</v>
      </c>
      <c r="B28" s="0" t="s">
        <v>101</v>
      </c>
      <c r="C28" s="0" t="n">
        <v>2021</v>
      </c>
      <c r="D28" s="0" t="n">
        <v>42399</v>
      </c>
      <c r="E28" s="0" t="s">
        <v>53</v>
      </c>
      <c r="F28" s="0" t="s">
        <v>100</v>
      </c>
    </row>
    <row r="29" customFormat="false" ht="15" hidden="false" customHeight="false" outlineLevel="0" collapsed="false">
      <c r="A29" s="0" t="s">
        <v>45</v>
      </c>
      <c r="B29" s="0" t="s">
        <v>102</v>
      </c>
      <c r="C29" s="0" t="n">
        <v>2021</v>
      </c>
      <c r="D29" s="0" t="n">
        <v>11162</v>
      </c>
      <c r="E29" s="0" t="s">
        <v>53</v>
      </c>
      <c r="F29" s="0" t="s">
        <v>100</v>
      </c>
    </row>
    <row r="30" customFormat="false" ht="15" hidden="false" customHeight="false" outlineLevel="0" collapsed="false">
      <c r="A30" s="0" t="s">
        <v>45</v>
      </c>
      <c r="B30" s="0" t="s">
        <v>103</v>
      </c>
      <c r="C30" s="0" t="n">
        <v>2021</v>
      </c>
      <c r="D30" s="0" t="n">
        <v>7618</v>
      </c>
      <c r="E30" s="0" t="s">
        <v>53</v>
      </c>
      <c r="F30" s="0" t="s">
        <v>100</v>
      </c>
    </row>
    <row r="31" customFormat="false" ht="15" hidden="false" customHeight="false" outlineLevel="0" collapsed="false">
      <c r="A31" s="0" t="s">
        <v>45</v>
      </c>
      <c r="B31" s="0" t="s">
        <v>104</v>
      </c>
      <c r="C31" s="0" t="n">
        <v>2021</v>
      </c>
      <c r="D31" s="0" t="n">
        <v>5.49</v>
      </c>
      <c r="E31" s="0" t="s">
        <v>53</v>
      </c>
      <c r="F31" s="0" t="s">
        <v>100</v>
      </c>
    </row>
    <row r="32" customFormat="false" ht="15" hidden="false" customHeight="false" outlineLevel="0" collapsed="false">
      <c r="A32" s="0" t="s">
        <v>45</v>
      </c>
      <c r="B32" s="0" t="s">
        <v>99</v>
      </c>
      <c r="C32" s="0" t="n">
        <v>2022</v>
      </c>
      <c r="D32" s="0" t="n">
        <v>86392</v>
      </c>
      <c r="E32" s="0" t="s">
        <v>53</v>
      </c>
      <c r="F32" s="0" t="s">
        <v>100</v>
      </c>
    </row>
    <row r="33" customFormat="false" ht="15" hidden="false" customHeight="false" outlineLevel="0" collapsed="false">
      <c r="A33" s="0" t="s">
        <v>45</v>
      </c>
      <c r="B33" s="0" t="s">
        <v>101</v>
      </c>
      <c r="C33" s="0" t="n">
        <v>2022</v>
      </c>
      <c r="D33" s="0" t="n">
        <v>45816</v>
      </c>
      <c r="E33" s="0" t="s">
        <v>53</v>
      </c>
      <c r="F33" s="0" t="s">
        <v>100</v>
      </c>
    </row>
    <row r="34" customFormat="false" ht="15" hidden="false" customHeight="false" outlineLevel="0" collapsed="false">
      <c r="A34" s="0" t="s">
        <v>45</v>
      </c>
      <c r="B34" s="0" t="s">
        <v>102</v>
      </c>
      <c r="C34" s="0" t="n">
        <v>2022</v>
      </c>
      <c r="D34" s="0" t="n">
        <v>11512</v>
      </c>
      <c r="E34" s="0" t="s">
        <v>53</v>
      </c>
      <c r="F34" s="0" t="s">
        <v>100</v>
      </c>
    </row>
    <row r="35" customFormat="false" ht="15" hidden="false" customHeight="false" outlineLevel="0" collapsed="false">
      <c r="A35" s="0" t="s">
        <v>45</v>
      </c>
      <c r="B35" s="0" t="s">
        <v>103</v>
      </c>
      <c r="C35" s="0" t="n">
        <v>2022</v>
      </c>
      <c r="D35" s="0" t="n">
        <v>8910</v>
      </c>
      <c r="E35" s="0" t="s">
        <v>53</v>
      </c>
      <c r="F35" s="0" t="s">
        <v>100</v>
      </c>
    </row>
    <row r="36" customFormat="false" ht="15" hidden="false" customHeight="false" outlineLevel="0" collapsed="false">
      <c r="A36" s="0" t="s">
        <v>45</v>
      </c>
      <c r="B36" s="0" t="s">
        <v>104</v>
      </c>
      <c r="C36" s="0" t="n">
        <v>2022</v>
      </c>
      <c r="D36" s="0" t="n">
        <v>6.42</v>
      </c>
      <c r="E36" s="0" t="s">
        <v>53</v>
      </c>
      <c r="F36" s="0" t="s">
        <v>100</v>
      </c>
    </row>
    <row r="37" customFormat="false" ht="15" hidden="false" customHeight="false" outlineLevel="0" collapsed="false">
      <c r="A37" s="0" t="s">
        <v>45</v>
      </c>
      <c r="B37" s="0" t="s">
        <v>99</v>
      </c>
      <c r="C37" s="0" t="n">
        <v>2023</v>
      </c>
      <c r="D37" s="0" t="n">
        <v>91471</v>
      </c>
      <c r="E37" s="0" t="s">
        <v>53</v>
      </c>
      <c r="F37" s="0" t="s">
        <v>100</v>
      </c>
    </row>
    <row r="38" customFormat="false" ht="15" hidden="false" customHeight="false" outlineLevel="0" collapsed="false">
      <c r="A38" s="0" t="s">
        <v>45</v>
      </c>
      <c r="B38" s="0" t="s">
        <v>101</v>
      </c>
      <c r="C38" s="0" t="n">
        <v>2023</v>
      </c>
      <c r="D38" s="0" t="n">
        <v>49590</v>
      </c>
      <c r="E38" s="0" t="s">
        <v>53</v>
      </c>
      <c r="F38" s="0" t="s">
        <v>100</v>
      </c>
    </row>
    <row r="39" customFormat="false" ht="15" hidden="false" customHeight="false" outlineLevel="0" collapsed="false">
      <c r="A39" s="0" t="s">
        <v>45</v>
      </c>
      <c r="B39" s="0" t="s">
        <v>102</v>
      </c>
      <c r="C39" s="0" t="n">
        <v>2023</v>
      </c>
      <c r="D39" s="0" t="n">
        <v>11986</v>
      </c>
      <c r="E39" s="0" t="s">
        <v>53</v>
      </c>
      <c r="F39" s="0" t="s">
        <v>100</v>
      </c>
    </row>
    <row r="40" customFormat="false" ht="15" hidden="false" customHeight="false" outlineLevel="0" collapsed="false">
      <c r="A40" s="0" t="s">
        <v>45</v>
      </c>
      <c r="B40" s="0" t="s">
        <v>103</v>
      </c>
      <c r="C40" s="0" t="n">
        <v>2023</v>
      </c>
      <c r="D40" s="0" t="n">
        <v>9074</v>
      </c>
      <c r="E40" s="0" t="s">
        <v>53</v>
      </c>
      <c r="F40" s="0" t="s">
        <v>100</v>
      </c>
    </row>
    <row r="41" customFormat="false" ht="15" hidden="false" customHeight="false" outlineLevel="0" collapsed="false">
      <c r="A41" s="0" t="s">
        <v>45</v>
      </c>
      <c r="B41" s="0" t="s">
        <v>104</v>
      </c>
      <c r="C41" s="0" t="n">
        <v>2023</v>
      </c>
      <c r="D41" s="0" t="n">
        <v>6.56</v>
      </c>
      <c r="E41" s="0" t="s">
        <v>53</v>
      </c>
      <c r="F41" s="0" t="s">
        <v>100</v>
      </c>
    </row>
    <row r="42" customFormat="false" ht="15" hidden="false" customHeight="false" outlineLevel="0" collapsed="false">
      <c r="A42" s="0" t="s">
        <v>45</v>
      </c>
      <c r="B42" s="0" t="s">
        <v>99</v>
      </c>
      <c r="C42" s="0" t="n">
        <v>2024</v>
      </c>
      <c r="D42" s="0" t="n">
        <v>91854</v>
      </c>
      <c r="E42" s="0" t="s">
        <v>59</v>
      </c>
      <c r="F42" s="0" t="s">
        <v>100</v>
      </c>
    </row>
    <row r="43" customFormat="false" ht="15" hidden="false" customHeight="false" outlineLevel="0" collapsed="false">
      <c r="A43" s="0" t="s">
        <v>45</v>
      </c>
      <c r="B43" s="0" t="s">
        <v>101</v>
      </c>
      <c r="C43" s="0" t="n">
        <v>2024</v>
      </c>
      <c r="D43" s="0" t="n">
        <v>50110</v>
      </c>
      <c r="E43" s="0" t="s">
        <v>59</v>
      </c>
      <c r="F43" s="0" t="s">
        <v>100</v>
      </c>
    </row>
    <row r="44" customFormat="false" ht="15" hidden="false" customHeight="false" outlineLevel="0" collapsed="false">
      <c r="A44" s="0" t="s">
        <v>45</v>
      </c>
      <c r="B44" s="0" t="s">
        <v>102</v>
      </c>
      <c r="C44" s="0" t="n">
        <v>2024</v>
      </c>
      <c r="D44" s="0" t="n">
        <v>12887</v>
      </c>
      <c r="E44" s="0" t="s">
        <v>59</v>
      </c>
      <c r="F44" s="0" t="s">
        <v>100</v>
      </c>
    </row>
    <row r="45" customFormat="false" ht="15" hidden="false" customHeight="false" outlineLevel="0" collapsed="false">
      <c r="A45" s="0" t="s">
        <v>45</v>
      </c>
      <c r="B45" s="0" t="s">
        <v>103</v>
      </c>
      <c r="C45" s="0" t="n">
        <v>2024</v>
      </c>
      <c r="D45" s="0" t="n">
        <v>9578</v>
      </c>
      <c r="E45" s="0" t="s">
        <v>59</v>
      </c>
      <c r="F45" s="0" t="s">
        <v>100</v>
      </c>
    </row>
    <row r="46" customFormat="false" ht="15" hidden="false" customHeight="false" outlineLevel="0" collapsed="false">
      <c r="A46" s="0" t="s">
        <v>45</v>
      </c>
      <c r="B46" s="0" t="s">
        <v>104</v>
      </c>
      <c r="C46" s="0" t="n">
        <v>2024</v>
      </c>
      <c r="D46" s="0" t="n">
        <v>6.95</v>
      </c>
      <c r="E46" s="0" t="s">
        <v>59</v>
      </c>
      <c r="F46" s="0" t="s">
        <v>100</v>
      </c>
    </row>
    <row r="47" customFormat="false" ht="15" hidden="false" customHeight="false" outlineLevel="0" collapsed="false">
      <c r="A47" s="0" t="s">
        <v>45</v>
      </c>
      <c r="B47" s="0" t="s">
        <v>99</v>
      </c>
      <c r="C47" s="0" t="n">
        <v>2025</v>
      </c>
      <c r="D47" s="0" t="n">
        <v>93925</v>
      </c>
      <c r="E47" s="0" t="s">
        <v>59</v>
      </c>
      <c r="F47" s="0" t="s">
        <v>100</v>
      </c>
    </row>
    <row r="48" customFormat="false" ht="15" hidden="false" customHeight="false" outlineLevel="0" collapsed="false">
      <c r="A48" s="0" t="s">
        <v>45</v>
      </c>
      <c r="B48" s="0" t="s">
        <v>101</v>
      </c>
      <c r="C48" s="0" t="n">
        <v>2025</v>
      </c>
      <c r="D48" s="0" t="n">
        <v>50859</v>
      </c>
      <c r="E48" s="0" t="s">
        <v>59</v>
      </c>
      <c r="F48" s="0" t="s">
        <v>100</v>
      </c>
    </row>
    <row r="49" customFormat="false" ht="15" hidden="false" customHeight="false" outlineLevel="0" collapsed="false">
      <c r="A49" s="0" t="s">
        <v>45</v>
      </c>
      <c r="B49" s="0" t="s">
        <v>102</v>
      </c>
      <c r="C49" s="0" t="n">
        <v>2025</v>
      </c>
      <c r="D49" s="0" t="n">
        <v>11498</v>
      </c>
      <c r="E49" s="0" t="s">
        <v>59</v>
      </c>
      <c r="F49" s="0" t="s">
        <v>100</v>
      </c>
    </row>
    <row r="50" customFormat="false" ht="15" hidden="false" customHeight="false" outlineLevel="0" collapsed="false">
      <c r="A50" s="0" t="s">
        <v>45</v>
      </c>
      <c r="B50" s="0" t="s">
        <v>103</v>
      </c>
      <c r="C50" s="0" t="n">
        <v>2025</v>
      </c>
      <c r="D50" s="0" t="n">
        <v>8240</v>
      </c>
      <c r="E50" s="0" t="s">
        <v>59</v>
      </c>
      <c r="F50" s="0" t="s">
        <v>100</v>
      </c>
    </row>
    <row r="51" customFormat="false" ht="15" hidden="false" customHeight="false" outlineLevel="0" collapsed="false">
      <c r="A51" s="0" t="s">
        <v>45</v>
      </c>
      <c r="B51" s="0" t="s">
        <v>104</v>
      </c>
      <c r="C51" s="0" t="n">
        <v>2025</v>
      </c>
      <c r="D51" s="0" t="n">
        <v>6</v>
      </c>
      <c r="E51" s="0" t="s">
        <v>59</v>
      </c>
      <c r="F51" s="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3" t="s">
        <v>8</v>
      </c>
      <c r="B1" s="3" t="s">
        <v>10</v>
      </c>
      <c r="C1" s="3" t="s">
        <v>68</v>
      </c>
      <c r="D1" s="3" t="s">
        <v>105</v>
      </c>
      <c r="E1" s="3" t="s">
        <v>106</v>
      </c>
      <c r="F1" s="3" t="s">
        <v>107</v>
      </c>
    </row>
    <row r="2" customFormat="false" ht="15" hidden="false" customHeight="false" outlineLevel="0" collapsed="false">
      <c r="A2" s="0" t="s">
        <v>26</v>
      </c>
      <c r="B2" s="0" t="n">
        <v>2021</v>
      </c>
      <c r="C2" s="0" t="s">
        <v>108</v>
      </c>
      <c r="D2" s="0" t="n">
        <f aca="false">Calculations!C2*100</f>
        <v>17.0866904949415</v>
      </c>
      <c r="E2" s="0" t="n">
        <v>17.0867</v>
      </c>
      <c r="F2" s="17" t="n">
        <f aca="false">ABS(D2-E2)</f>
        <v>9.5050584647538E-006</v>
      </c>
    </row>
    <row r="3" customFormat="false" ht="15" hidden="false" customHeight="false" outlineLevel="0" collapsed="false">
      <c r="A3" s="0" t="s">
        <v>26</v>
      </c>
      <c r="B3" s="0" t="n">
        <v>2021</v>
      </c>
      <c r="C3" s="0" t="s">
        <v>109</v>
      </c>
      <c r="D3" s="0" t="n">
        <f aca="false">Calculations!F2*100</f>
        <v>26.6666666666667</v>
      </c>
      <c r="E3" s="0" t="n">
        <v>26.6667</v>
      </c>
      <c r="F3" s="17" t="n">
        <f aca="false">ABS(D3-E3)</f>
        <v>3.33333333308872E-005</v>
      </c>
    </row>
    <row r="4" customFormat="false" ht="15" hidden="false" customHeight="false" outlineLevel="0" collapsed="false">
      <c r="A4" s="0" t="s">
        <v>26</v>
      </c>
      <c r="B4" s="0" t="n">
        <v>2021</v>
      </c>
      <c r="C4" s="0" t="s">
        <v>110</v>
      </c>
      <c r="D4" s="0" t="n">
        <f aca="false">Calculations!G2*100</f>
        <v>25.2774544043461</v>
      </c>
      <c r="E4" s="0" t="n">
        <v>25.2775</v>
      </c>
      <c r="F4" s="17" t="n">
        <f aca="false">ABS(D4-E4)</f>
        <v>4.5595653862307E-005</v>
      </c>
    </row>
    <row r="5" customFormat="false" ht="15" hidden="false" customHeight="false" outlineLevel="0" collapsed="false">
      <c r="A5" s="0" t="s">
        <v>26</v>
      </c>
      <c r="B5" s="0" t="n">
        <v>2021</v>
      </c>
      <c r="C5" s="0" t="s">
        <v>67</v>
      </c>
      <c r="D5" s="0" t="n">
        <f aca="false">Calculations!J2*1</f>
        <v>26.3155551486545</v>
      </c>
      <c r="E5" s="0" t="n">
        <v>26.3156</v>
      </c>
      <c r="F5" s="17" t="n">
        <f aca="false">ABS(D5-E5)</f>
        <v>4.48513454820443E-005</v>
      </c>
    </row>
    <row r="6" customFormat="false" ht="15" hidden="false" customHeight="false" outlineLevel="0" collapsed="false">
      <c r="A6" s="0" t="s">
        <v>26</v>
      </c>
      <c r="B6" s="0" t="n">
        <v>2022</v>
      </c>
      <c r="C6" s="0" t="s">
        <v>108</v>
      </c>
      <c r="D6" s="0" t="n">
        <f aca="false">Calculations!C3*100</f>
        <v>11.2508084335791</v>
      </c>
      <c r="E6" s="0" t="n">
        <v>11.2508</v>
      </c>
      <c r="F6" s="17" t="n">
        <f aca="false">ABS(D6-E6)</f>
        <v>8.43357910618181E-006</v>
      </c>
    </row>
    <row r="7" customFormat="false" ht="15" hidden="false" customHeight="false" outlineLevel="0" collapsed="false">
      <c r="A7" s="0" t="s">
        <v>26</v>
      </c>
      <c r="B7" s="0" t="n">
        <v>2022</v>
      </c>
      <c r="C7" s="0" t="s">
        <v>109</v>
      </c>
      <c r="D7" s="0" t="n">
        <f aca="false">Calculations!F3*100</f>
        <v>25.3674076830062</v>
      </c>
      <c r="E7" s="0" t="n">
        <v>25.3674</v>
      </c>
      <c r="F7" s="17" t="n">
        <f aca="false">ABS(D7-E7)</f>
        <v>7.68300623121831E-006</v>
      </c>
    </row>
    <row r="8" customFormat="false" ht="15" hidden="false" customHeight="false" outlineLevel="0" collapsed="false">
      <c r="A8" s="0" t="s">
        <v>26</v>
      </c>
      <c r="B8" s="0" t="n">
        <v>2022</v>
      </c>
      <c r="C8" s="0" t="s">
        <v>110</v>
      </c>
      <c r="D8" s="0" t="n">
        <f aca="false">Calculations!G3*100</f>
        <v>22.1886336154776</v>
      </c>
      <c r="E8" s="0" t="n">
        <v>22.1886</v>
      </c>
      <c r="F8" s="17" t="n">
        <f aca="false">ABS(D8-E8)</f>
        <v>3.36154776299225E-005</v>
      </c>
    </row>
    <row r="9" customFormat="false" ht="15" hidden="false" customHeight="false" outlineLevel="0" collapsed="false">
      <c r="A9" s="0" t="s">
        <v>26</v>
      </c>
      <c r="B9" s="0" t="n">
        <v>2022</v>
      </c>
      <c r="C9" s="0" t="s">
        <v>67</v>
      </c>
      <c r="D9" s="0" t="n">
        <f aca="false">Calculations!J3*1</f>
        <v>29.045662379156</v>
      </c>
      <c r="E9" s="0" t="n">
        <v>29.0457</v>
      </c>
      <c r="F9" s="17" t="n">
        <f aca="false">ABS(D9-E9)</f>
        <v>3.76208440364678E-005</v>
      </c>
    </row>
    <row r="10" customFormat="false" ht="15" hidden="false" customHeight="false" outlineLevel="0" collapsed="false">
      <c r="A10" s="0" t="s">
        <v>26</v>
      </c>
      <c r="B10" s="0" t="n">
        <v>2023</v>
      </c>
      <c r="C10" s="0" t="s">
        <v>108</v>
      </c>
      <c r="D10" s="0" t="n">
        <f aca="false">Calculations!C4*100</f>
        <v>6.3947539763743</v>
      </c>
      <c r="E10" s="0" t="n">
        <v>6.3948</v>
      </c>
      <c r="F10" s="17" t="n">
        <f aca="false">ABS(D10-E10)</f>
        <v>4.60236256989433E-005</v>
      </c>
    </row>
    <row r="11" customFormat="false" ht="15" hidden="false" customHeight="false" outlineLevel="0" collapsed="false">
      <c r="A11" s="0" t="s">
        <v>26</v>
      </c>
      <c r="B11" s="0" t="n">
        <v>2023</v>
      </c>
      <c r="C11" s="0" t="s">
        <v>109</v>
      </c>
      <c r="D11" s="0" t="n">
        <f aca="false">Calculations!F4*100</f>
        <v>24.7213358394894</v>
      </c>
      <c r="E11" s="0" t="n">
        <v>24.7213</v>
      </c>
      <c r="F11" s="17" t="n">
        <f aca="false">ABS(D11-E11)</f>
        <v>3.58394894455216E-005</v>
      </c>
    </row>
    <row r="12" customFormat="false" ht="15" hidden="false" customHeight="false" outlineLevel="0" collapsed="false">
      <c r="A12" s="0" t="s">
        <v>26</v>
      </c>
      <c r="B12" s="0" t="n">
        <v>2023</v>
      </c>
      <c r="C12" s="0" t="s">
        <v>110</v>
      </c>
      <c r="D12" s="0" t="n">
        <f aca="false">Calculations!G4*100</f>
        <v>23.4165318879224</v>
      </c>
      <c r="E12" s="0" t="n">
        <v>23.4165</v>
      </c>
      <c r="F12" s="17" t="n">
        <f aca="false">ABS(D12-E12)</f>
        <v>3.18879223684121E-005</v>
      </c>
    </row>
    <row r="13" customFormat="false" ht="15" hidden="false" customHeight="false" outlineLevel="0" collapsed="false">
      <c r="A13" s="0" t="s">
        <v>26</v>
      </c>
      <c r="B13" s="0" t="n">
        <v>2023</v>
      </c>
      <c r="C13" s="0" t="s">
        <v>67</v>
      </c>
      <c r="D13" s="0" t="n">
        <f aca="false">Calculations!J4*1</f>
        <v>23.8582997186946</v>
      </c>
      <c r="E13" s="0" t="n">
        <v>23.8583</v>
      </c>
      <c r="F13" s="17" t="n">
        <f aca="false">ABS(D13-E13)</f>
        <v>2.81305354121741E-007</v>
      </c>
    </row>
    <row r="14" customFormat="false" ht="15" hidden="false" customHeight="false" outlineLevel="0" collapsed="false">
      <c r="A14" s="0" t="s">
        <v>26</v>
      </c>
      <c r="B14" s="0" t="n">
        <v>2024</v>
      </c>
      <c r="C14" s="0" t="s">
        <v>108</v>
      </c>
      <c r="D14" s="0" t="n">
        <f aca="false">Calculations!C5*100</f>
        <v>2.85658084539058</v>
      </c>
      <c r="E14" s="0" t="n">
        <v>2.8566</v>
      </c>
      <c r="F14" s="17" t="n">
        <f aca="false">ABS(D14-E14)</f>
        <v>1.91546094225892E-005</v>
      </c>
    </row>
    <row r="15" customFormat="false" ht="15" hidden="false" customHeight="false" outlineLevel="0" collapsed="false">
      <c r="A15" s="0" t="s">
        <v>26</v>
      </c>
      <c r="B15" s="0" t="n">
        <v>2024</v>
      </c>
      <c r="C15" s="0" t="s">
        <v>109</v>
      </c>
      <c r="D15" s="0" t="n">
        <f aca="false">Calculations!F5*100</f>
        <v>21.2320180191666</v>
      </c>
      <c r="E15" s="0" t="n">
        <v>21.232</v>
      </c>
      <c r="F15" s="17" t="n">
        <f aca="false">ABS(D15-E15)</f>
        <v>1.80191666139251E-005</v>
      </c>
    </row>
    <row r="16" customFormat="false" ht="15" hidden="false" customHeight="false" outlineLevel="0" collapsed="false">
      <c r="A16" s="0" t="s">
        <v>26</v>
      </c>
      <c r="B16" s="0" t="n">
        <v>2024</v>
      </c>
      <c r="C16" s="0" t="s">
        <v>110</v>
      </c>
      <c r="D16" s="0" t="n">
        <f aca="false">Calculations!G5*100</f>
        <v>22.5898302203523</v>
      </c>
      <c r="E16" s="0" t="n">
        <v>22.5898</v>
      </c>
      <c r="F16" s="17" t="n">
        <f aca="false">ABS(D16-E16)</f>
        <v>3.02203523077083E-005</v>
      </c>
    </row>
    <row r="17" customFormat="false" ht="15" hidden="false" customHeight="false" outlineLevel="0" collapsed="false">
      <c r="A17" s="0" t="s">
        <v>26</v>
      </c>
      <c r="B17" s="0" t="n">
        <v>2024</v>
      </c>
      <c r="C17" s="0" t="s">
        <v>67</v>
      </c>
      <c r="D17" s="0" t="n">
        <f aca="false">Calculations!J5*1</f>
        <v>25.3089424071273</v>
      </c>
      <c r="E17" s="0" t="n">
        <v>25.3089</v>
      </c>
      <c r="F17" s="17" t="n">
        <f aca="false">ABS(D17-E17)</f>
        <v>4.24071273172899E-005</v>
      </c>
    </row>
    <row r="18" customFormat="false" ht="15" hidden="false" customHeight="false" outlineLevel="0" collapsed="false">
      <c r="A18" s="0" t="s">
        <v>26</v>
      </c>
      <c r="B18" s="0" t="n">
        <v>2025</v>
      </c>
      <c r="C18" s="0" t="s">
        <v>108</v>
      </c>
      <c r="D18" s="0" t="n">
        <f aca="false">Calculations!C6*100</f>
        <v>1.86991351649985</v>
      </c>
      <c r="E18" s="0" t="n">
        <v>1.8699</v>
      </c>
      <c r="F18" s="17" t="n">
        <f aca="false">ABS(D18-E18)</f>
        <v>1.35164998549264E-005</v>
      </c>
    </row>
    <row r="19" customFormat="false" ht="15" hidden="false" customHeight="false" outlineLevel="0" collapsed="false">
      <c r="A19" s="0" t="s">
        <v>26</v>
      </c>
      <c r="B19" s="0" t="n">
        <v>2025</v>
      </c>
      <c r="C19" s="0" t="s">
        <v>109</v>
      </c>
      <c r="D19" s="0" t="n">
        <f aca="false">Calculations!F6*100</f>
        <v>28.7061179366304</v>
      </c>
      <c r="E19" s="0" t="n">
        <v>28.7061</v>
      </c>
      <c r="F19" s="17" t="n">
        <f aca="false">ABS(D19-E19)</f>
        <v>1.79366304422501E-005</v>
      </c>
    </row>
    <row r="20" customFormat="false" ht="15" hidden="false" customHeight="false" outlineLevel="0" collapsed="false">
      <c r="A20" s="0" t="s">
        <v>26</v>
      </c>
      <c r="B20" s="0" t="n">
        <v>2025</v>
      </c>
      <c r="C20" s="0" t="s">
        <v>110</v>
      </c>
      <c r="D20" s="0" t="n">
        <f aca="false">Calculations!G6*100</f>
        <v>27.3398552387309</v>
      </c>
      <c r="E20" s="0" t="n">
        <v>27.3399</v>
      </c>
      <c r="F20" s="17" t="n">
        <f aca="false">ABS(D20-E20)</f>
        <v>4.47612690592791E-005</v>
      </c>
    </row>
    <row r="21" customFormat="false" ht="15" hidden="false" customHeight="false" outlineLevel="0" collapsed="false">
      <c r="A21" s="0" t="s">
        <v>26</v>
      </c>
      <c r="B21" s="0" t="n">
        <v>2025</v>
      </c>
      <c r="C21" s="0" t="s">
        <v>67</v>
      </c>
      <c r="D21" s="0" t="n">
        <f aca="false">Calculations!J6*1</f>
        <v>22.996711730957</v>
      </c>
      <c r="E21" s="0" t="n">
        <v>22.9967</v>
      </c>
      <c r="F21" s="17" t="n">
        <f aca="false">ABS(D21-E21)</f>
        <v>1.17309570306645E-005</v>
      </c>
    </row>
    <row r="22" customFormat="false" ht="15" hidden="false" customHeight="false" outlineLevel="0" collapsed="false">
      <c r="A22" s="0" t="s">
        <v>45</v>
      </c>
      <c r="B22" s="0" t="n">
        <v>2021</v>
      </c>
      <c r="C22" s="0" t="s">
        <v>108</v>
      </c>
      <c r="D22" s="0" t="n">
        <f aca="false">Calculations!C7*100</f>
        <v>12.9341215256068</v>
      </c>
      <c r="E22" s="0" t="n">
        <v>12.9341</v>
      </c>
      <c r="F22" s="17" t="n">
        <f aca="false">ABS(D22-E22)</f>
        <v>2.15256067779279E-005</v>
      </c>
    </row>
    <row r="23" customFormat="false" ht="15" hidden="false" customHeight="false" outlineLevel="0" collapsed="false">
      <c r="A23" s="0" t="s">
        <v>45</v>
      </c>
      <c r="B23" s="0" t="n">
        <v>2021</v>
      </c>
      <c r="C23" s="0" t="s">
        <v>109</v>
      </c>
      <c r="D23" s="0" t="n">
        <f aca="false">Calculations!F7*100</f>
        <v>14.0448448549211</v>
      </c>
      <c r="E23" s="0" t="n">
        <v>14.0448</v>
      </c>
      <c r="F23" s="17" t="n">
        <f aca="false">ABS(D23-E23)</f>
        <v>4.48549211071736E-005</v>
      </c>
    </row>
    <row r="24" customFormat="false" ht="15" hidden="false" customHeight="false" outlineLevel="0" collapsed="false">
      <c r="A24" s="0" t="s">
        <v>45</v>
      </c>
      <c r="B24" s="0" t="n">
        <v>2021</v>
      </c>
      <c r="C24" s="0" t="s">
        <v>110</v>
      </c>
      <c r="D24" s="0" t="n">
        <f aca="false">Calculations!G7*100</f>
        <v>9.58552482572917</v>
      </c>
      <c r="E24" s="0" t="n">
        <v>9.5855</v>
      </c>
      <c r="F24" s="17" t="n">
        <f aca="false">ABS(D24-E24)</f>
        <v>2.48257291701748E-005</v>
      </c>
    </row>
    <row r="25" customFormat="false" ht="15" hidden="false" customHeight="false" outlineLevel="0" collapsed="false">
      <c r="A25" s="0" t="s">
        <v>45</v>
      </c>
      <c r="B25" s="0" t="n">
        <v>2021</v>
      </c>
      <c r="C25" s="0" t="s">
        <v>67</v>
      </c>
      <c r="D25" s="0" t="n">
        <f aca="false">Calculations!J7*1</f>
        <v>31.6411669788465</v>
      </c>
      <c r="E25" s="0" t="n">
        <v>31.6412</v>
      </c>
      <c r="F25" s="17" t="n">
        <f aca="false">ABS(D25-E25)</f>
        <v>3.30211535199965E-005</v>
      </c>
    </row>
    <row r="26" customFormat="false" ht="15" hidden="false" customHeight="false" outlineLevel="0" collapsed="false">
      <c r="A26" s="0" t="s">
        <v>45</v>
      </c>
      <c r="B26" s="0" t="n">
        <v>2022</v>
      </c>
      <c r="C26" s="0" t="s">
        <v>108</v>
      </c>
      <c r="D26" s="0" t="n">
        <f aca="false">Calculations!C8*100</f>
        <v>8.704733623575</v>
      </c>
      <c r="E26" s="0" t="n">
        <v>8.7047</v>
      </c>
      <c r="F26" s="17" t="n">
        <f aca="false">ABS(D26-E26)</f>
        <v>3.36235749998082E-005</v>
      </c>
    </row>
    <row r="27" customFormat="false" ht="15" hidden="false" customHeight="false" outlineLevel="0" collapsed="false">
      <c r="A27" s="0" t="s">
        <v>45</v>
      </c>
      <c r="B27" s="0" t="n">
        <v>2022</v>
      </c>
      <c r="C27" s="0" t="s">
        <v>109</v>
      </c>
      <c r="D27" s="0" t="n">
        <f aca="false">Calculations!F8*100</f>
        <v>13.3253078988795</v>
      </c>
      <c r="E27" s="0" t="n">
        <v>13.3253</v>
      </c>
      <c r="F27" s="17" t="n">
        <f aca="false">ABS(D27-E27)</f>
        <v>7.89887952556967E-006</v>
      </c>
    </row>
    <row r="28" customFormat="false" ht="15" hidden="false" customHeight="false" outlineLevel="0" collapsed="false">
      <c r="A28" s="0" t="s">
        <v>45</v>
      </c>
      <c r="B28" s="0" t="n">
        <v>2022</v>
      </c>
      <c r="C28" s="0" t="s">
        <v>110</v>
      </c>
      <c r="D28" s="0" t="n">
        <f aca="false">Calculations!G8*100</f>
        <v>10.3134549495324</v>
      </c>
      <c r="E28" s="0" t="n">
        <v>10.3135</v>
      </c>
      <c r="F28" s="17" t="n">
        <f aca="false">ABS(D28-E28)</f>
        <v>4.50504676354768E-005</v>
      </c>
    </row>
    <row r="29" customFormat="false" ht="15" hidden="false" customHeight="false" outlineLevel="0" collapsed="false">
      <c r="A29" s="0" t="s">
        <v>45</v>
      </c>
      <c r="B29" s="0" t="n">
        <v>2022</v>
      </c>
      <c r="C29" s="0" t="s">
        <v>67</v>
      </c>
      <c r="D29" s="0" t="n">
        <f aca="false">Calculations!J8*1</f>
        <v>28.1401874863099</v>
      </c>
      <c r="E29" s="0" t="n">
        <v>28.1402</v>
      </c>
      <c r="F29" s="17" t="n">
        <f aca="false">ABS(D29-E29)</f>
        <v>1.25136901232281E-005</v>
      </c>
    </row>
    <row r="30" customFormat="false" ht="15" hidden="false" customHeight="false" outlineLevel="0" collapsed="false">
      <c r="A30" s="0" t="s">
        <v>45</v>
      </c>
      <c r="B30" s="0" t="n">
        <v>2023</v>
      </c>
      <c r="C30" s="0" t="s">
        <v>108</v>
      </c>
      <c r="D30" s="0" t="n">
        <f aca="false">Calculations!C9*100</f>
        <v>5.87901657560885</v>
      </c>
      <c r="E30" s="0" t="n">
        <v>5.879</v>
      </c>
      <c r="F30" s="17" t="n">
        <f aca="false">ABS(D30-E30)</f>
        <v>1.65756088534863E-005</v>
      </c>
    </row>
    <row r="31" customFormat="false" ht="15" hidden="false" customHeight="false" outlineLevel="0" collapsed="false">
      <c r="A31" s="0" t="s">
        <v>45</v>
      </c>
      <c r="B31" s="0" t="n">
        <v>2023</v>
      </c>
      <c r="C31" s="0" t="s">
        <v>109</v>
      </c>
      <c r="D31" s="0" t="n">
        <f aca="false">Calculations!F9*100</f>
        <v>13.1036066075587</v>
      </c>
      <c r="E31" s="0" t="n">
        <v>13.1036</v>
      </c>
      <c r="F31" s="17" t="n">
        <f aca="false">ABS(D31-E31)</f>
        <v>6.60755867976093E-006</v>
      </c>
    </row>
    <row r="32" customFormat="false" ht="15" hidden="false" customHeight="false" outlineLevel="0" collapsed="false">
      <c r="A32" s="0" t="s">
        <v>45</v>
      </c>
      <c r="B32" s="0" t="n">
        <v>2023</v>
      </c>
      <c r="C32" s="0" t="s">
        <v>110</v>
      </c>
      <c r="D32" s="0" t="n">
        <f aca="false">Calculations!G9*100</f>
        <v>9.92008396103683</v>
      </c>
      <c r="E32" s="0" t="n">
        <v>9.9201</v>
      </c>
      <c r="F32" s="17" t="n">
        <f aca="false">ABS(D32-E32)</f>
        <v>1.60389631691515E-005</v>
      </c>
    </row>
    <row r="33" customFormat="false" ht="15" hidden="false" customHeight="false" outlineLevel="0" collapsed="false">
      <c r="A33" s="0" t="s">
        <v>45</v>
      </c>
      <c r="B33" s="0" t="n">
        <v>2023</v>
      </c>
      <c r="C33" s="0" t="s">
        <v>67</v>
      </c>
      <c r="D33" s="0" t="n">
        <f aca="false">Calculations!J9*1</f>
        <v>25.8902433441906</v>
      </c>
      <c r="E33" s="0" t="n">
        <v>25.8902</v>
      </c>
      <c r="F33" s="17" t="n">
        <f aca="false">ABS(D33-E33)</f>
        <v>4.33441906402265E-005</v>
      </c>
    </row>
    <row r="34" customFormat="false" ht="15" hidden="false" customHeight="false" outlineLevel="0" collapsed="false">
      <c r="A34" s="0" t="s">
        <v>45</v>
      </c>
      <c r="B34" s="0" t="n">
        <v>2024</v>
      </c>
      <c r="C34" s="0" t="s">
        <v>108</v>
      </c>
      <c r="D34" s="0" t="n">
        <f aca="false">Calculations!C10*100</f>
        <v>0.418711941489658</v>
      </c>
      <c r="E34" s="0" t="n">
        <v>0.4187</v>
      </c>
      <c r="F34" s="17" t="n">
        <f aca="false">ABS(D34-E34)</f>
        <v>1.19414896578296E-005</v>
      </c>
    </row>
    <row r="35" customFormat="false" ht="15" hidden="false" customHeight="false" outlineLevel="0" collapsed="false">
      <c r="A35" s="0" t="s">
        <v>45</v>
      </c>
      <c r="B35" s="0" t="n">
        <v>2024</v>
      </c>
      <c r="C35" s="0" t="s">
        <v>109</v>
      </c>
      <c r="D35" s="0" t="n">
        <f aca="false">Calculations!F10*100</f>
        <v>14.0298734948941</v>
      </c>
      <c r="E35" s="0" t="n">
        <v>14.0299</v>
      </c>
      <c r="F35" s="17" t="n">
        <f aca="false">ABS(D35-E35)</f>
        <v>2.65051059287202E-005</v>
      </c>
    </row>
    <row r="36" customFormat="false" ht="15" hidden="false" customHeight="false" outlineLevel="0" collapsed="false">
      <c r="A36" s="0" t="s">
        <v>45</v>
      </c>
      <c r="B36" s="0" t="n">
        <v>2024</v>
      </c>
      <c r="C36" s="0" t="s">
        <v>110</v>
      </c>
      <c r="D36" s="0" t="n">
        <f aca="false">Calculations!G10*100</f>
        <v>10.4274174233022</v>
      </c>
      <c r="E36" s="0" t="n">
        <v>10.4274</v>
      </c>
      <c r="F36" s="17" t="n">
        <f aca="false">ABS(D36-E36)</f>
        <v>1.7423302196562E-005</v>
      </c>
    </row>
    <row r="37" customFormat="false" ht="15" hidden="false" customHeight="false" outlineLevel="0" collapsed="false">
      <c r="A37" s="0" t="s">
        <v>45</v>
      </c>
      <c r="B37" s="0" t="n">
        <v>2024</v>
      </c>
      <c r="C37" s="0" t="s">
        <v>67</v>
      </c>
      <c r="D37" s="0" t="n">
        <f aca="false">Calculations!J10*1</f>
        <v>21.879136339366</v>
      </c>
      <c r="E37" s="0" t="n">
        <v>21.8791</v>
      </c>
      <c r="F37" s="17" t="n">
        <f aca="false">ABS(D37-E37)</f>
        <v>3.63393660123279E-005</v>
      </c>
    </row>
    <row r="38" customFormat="false" ht="15" hidden="false" customHeight="false" outlineLevel="0" collapsed="false">
      <c r="A38" s="0" t="s">
        <v>45</v>
      </c>
      <c r="B38" s="0" t="n">
        <v>2025</v>
      </c>
      <c r="C38" s="0" t="s">
        <v>108</v>
      </c>
      <c r="D38" s="0" t="n">
        <f aca="false">Calculations!C11*100</f>
        <v>2.25466501186666</v>
      </c>
      <c r="E38" s="0" t="n">
        <v>2.2547</v>
      </c>
      <c r="F38" s="17" t="n">
        <f aca="false">ABS(D38-E38)</f>
        <v>3.49881333367996E-005</v>
      </c>
    </row>
    <row r="39" customFormat="false" ht="15" hidden="false" customHeight="false" outlineLevel="0" collapsed="false">
      <c r="A39" s="0" t="s">
        <v>45</v>
      </c>
      <c r="B39" s="0" t="n">
        <v>2025</v>
      </c>
      <c r="C39" s="0" t="s">
        <v>109</v>
      </c>
      <c r="D39" s="0" t="n">
        <f aca="false">Calculations!F11*100</f>
        <v>12.2416821932393</v>
      </c>
      <c r="E39" s="0" t="n">
        <v>12.2417</v>
      </c>
      <c r="F39" s="17" t="n">
        <f aca="false">ABS(D39-E39)</f>
        <v>1.78067607130572E-005</v>
      </c>
    </row>
    <row r="40" customFormat="false" ht="15" hidden="false" customHeight="false" outlineLevel="0" collapsed="false">
      <c r="A40" s="0" t="s">
        <v>45</v>
      </c>
      <c r="B40" s="0" t="n">
        <v>2025</v>
      </c>
      <c r="C40" s="0" t="s">
        <v>110</v>
      </c>
      <c r="D40" s="0" t="n">
        <f aca="false">Calculations!G11*100</f>
        <v>8.77295714665957</v>
      </c>
      <c r="E40" s="0" t="n">
        <v>8.773</v>
      </c>
      <c r="F40" s="17" t="n">
        <f aca="false">ABS(D40-E40)</f>
        <v>4.28533404317477E-005</v>
      </c>
    </row>
    <row r="41" customFormat="false" ht="15" hidden="false" customHeight="false" outlineLevel="0" collapsed="false">
      <c r="A41" s="0" t="s">
        <v>45</v>
      </c>
      <c r="B41" s="0" t="n">
        <v>2025</v>
      </c>
      <c r="C41" s="0" t="s">
        <v>67</v>
      </c>
      <c r="D41" s="0" t="n">
        <f aca="false">Calculations!J11*1</f>
        <v>23.9200007120768</v>
      </c>
      <c r="E41" s="0" t="n">
        <v>23.92</v>
      </c>
      <c r="F41" s="17" t="n">
        <f aca="false">ABS(D41-E41)</f>
        <v>7.12076815290175E-007</v>
      </c>
    </row>
    <row r="43" customFormat="false" ht="15" hidden="false" customHeight="false" outlineLevel="0" collapsed="false">
      <c r="C43" s="0" t="s">
        <v>111</v>
      </c>
      <c r="F43" s="17" t="n">
        <f aca="false">MAX(F2:F41)</f>
        <v>4.60236256989433E-005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8" t="s">
        <v>112</v>
      </c>
    </row>
    <row r="2" customFormat="false" ht="28.35" hidden="false" customHeight="false" outlineLevel="0" collapsed="false">
      <c r="A2" s="18" t="s">
        <v>113</v>
      </c>
    </row>
    <row r="3" customFormat="false" ht="28.35" hidden="false" customHeight="false" outlineLevel="0" collapsed="false">
      <c r="A3" s="18" t="s">
        <v>114</v>
      </c>
    </row>
    <row r="4" customFormat="false" ht="28.35" hidden="false" customHeight="false" outlineLevel="0" collapsed="false">
      <c r="A4" s="18" t="s">
        <v>115</v>
      </c>
    </row>
    <row r="5" customFormat="false" ht="15" hidden="false" customHeight="false" outlineLevel="0" collapsed="false">
      <c r="A5" s="18" t="s">
        <v>116</v>
      </c>
    </row>
    <row r="6" customFormat="false" ht="28.35" hidden="false" customHeight="false" outlineLevel="0" collapsed="false">
      <c r="A6" s="18" t="s">
        <v>117</v>
      </c>
    </row>
    <row r="7" customFormat="false" ht="28.35" hidden="false" customHeight="false" outlineLevel="0" collapsed="false">
      <c r="A7" s="18" t="s">
        <v>118</v>
      </c>
    </row>
    <row r="8" customFormat="false" ht="15" hidden="false" customHeight="false" outlineLevel="0" collapsed="false">
      <c r="A8" s="18" t="s">
        <v>119</v>
      </c>
    </row>
    <row r="9" customFormat="false" ht="15" hidden="false" customHeight="false" outlineLevel="0" collapsed="false">
      <c r="A9" s="18" t="s">
        <v>120</v>
      </c>
    </row>
    <row r="10" customFormat="false" ht="15" hidden="false" customHeight="false" outlineLevel="0" collapsed="false">
      <c r="A10" s="18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2026-10-25T19:57:22Z</dcterms:created>
  <dc:creator>openpyxl</dc:creator>
  <dc:description/>
  <dc:language>en-US</dc:language>
  <cp:lastModifiedBy/>
  <dcterms:modified xsi:type="dcterms:W3CDTF">2026-10-25T19:57:22Z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